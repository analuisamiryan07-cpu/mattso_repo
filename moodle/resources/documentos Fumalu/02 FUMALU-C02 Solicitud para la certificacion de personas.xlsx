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paglob\Desktop\FUMALU\PRL CONSTUCCION\"/>
    </mc:Choice>
  </mc:AlternateContent>
  <bookViews>
    <workbookView xWindow="0" yWindow="0" windowWidth="24000" windowHeight="8820" firstSheet="1" activeTab="1"/>
  </bookViews>
  <sheets>
    <sheet name="MATRIZ" sheetId="2" state="hidden" r:id="rId1"/>
    <sheet name="HOJA DE TRABAJO" sheetId="6" r:id="rId2"/>
    <sheet name="Hoja2" sheetId="7" state="hidden" r:id="rId3"/>
    <sheet name="HOJA DE TRABAJO(1)" sheetId="3" state="hidden" r:id="rId4"/>
  </sheets>
  <definedNames>
    <definedName name="_xlnm.Print_Area" localSheetId="1">'HOJA DE TRABAJO'!$B$1:$N$93</definedName>
    <definedName name="_xlnm.Print_Area" localSheetId="3">'HOJA DE TRABAJO(1)'!$A$1:$M$106</definedName>
    <definedName name="_xlnm.Print_Area" localSheetId="0">MATRIZ!$B$1:$N$101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0" i="6" l="1"/>
  <c r="C91" i="6" l="1"/>
  <c r="N39" i="6"/>
  <c r="M39" i="6"/>
  <c r="L39" i="6"/>
  <c r="K39" i="6"/>
  <c r="J39" i="6"/>
  <c r="C94" i="2"/>
</calcChain>
</file>

<file path=xl/sharedStrings.xml><?xml version="1.0" encoding="utf-8"?>
<sst xmlns="http://schemas.openxmlformats.org/spreadsheetml/2006/main" count="348" uniqueCount="159">
  <si>
    <t>ASIB, ASESORÍA Y SERVICIOS INDUSTRIALES BETANCOURT S.A.S.</t>
  </si>
  <si>
    <t xml:space="preserve">Código: </t>
  </si>
  <si>
    <t>ASIB-C02</t>
  </si>
  <si>
    <t>Fecha de emisión:</t>
  </si>
  <si>
    <t>Fecha de revisión:</t>
  </si>
  <si>
    <t xml:space="preserve">SOLICITUD PARA LA CERTIFICACIÓN DE PERSONAS  </t>
  </si>
  <si>
    <t>Versión:</t>
  </si>
  <si>
    <t>DCRCO -V03.1-2022</t>
  </si>
  <si>
    <t>N° pág:</t>
  </si>
  <si>
    <t>Page 1 of 2</t>
  </si>
  <si>
    <t>File:</t>
  </si>
  <si>
    <t>C02</t>
  </si>
  <si>
    <r>
      <rPr>
        <b/>
        <sz val="8"/>
        <color theme="1"/>
        <rFont val="Arial"/>
        <family val="2"/>
      </rPr>
      <t>Formulario Nº</t>
    </r>
    <r>
      <rPr>
        <sz val="8"/>
        <color indexed="8"/>
        <rFont val="Arial"/>
        <family val="2"/>
      </rPr>
      <t xml:space="preserve">  </t>
    </r>
  </si>
  <si>
    <t>Fecha de recepción:</t>
  </si>
  <si>
    <t>DATOS PERSONALES DEL CANDIDATO</t>
  </si>
  <si>
    <t>Nombres y Apellidos:</t>
  </si>
  <si>
    <t>Cédula o pasaporte:</t>
  </si>
  <si>
    <t>Correo electrónico:</t>
  </si>
  <si>
    <t>Edad - años cumplidos</t>
  </si>
  <si>
    <t>DATOS DE DOMICILIO DEL CANDIDATO</t>
  </si>
  <si>
    <t>Provincia:</t>
  </si>
  <si>
    <t>Ciudad (Parroquia):</t>
  </si>
  <si>
    <t>Dirección:</t>
  </si>
  <si>
    <t>Teléfono:</t>
  </si>
  <si>
    <t>Celular:</t>
  </si>
  <si>
    <t>1. Seleccione el Esquema del Perfil de Competencia y Unidades de Competencia para los que desea aplicar:</t>
  </si>
  <si>
    <t>Puede elegir una, varias o todas las unidades de competencia por el Esquema de certificación del Perfil</t>
  </si>
  <si>
    <t>1.1. Seleccione el Esquema del Perfil de Competencia y Unidades de Competencia para los que desea aplicar:</t>
  </si>
  <si>
    <t>PERFIL DE CUALIFICACIÓN PROFESIONAL</t>
  </si>
  <si>
    <t>ESQUEMA DE CERTIFICACIÓN</t>
  </si>
  <si>
    <t>Unidades de Competencia
*marque con una X las UC correspondientes al Esquema</t>
  </si>
  <si>
    <t>UC1</t>
  </si>
  <si>
    <t>UC2</t>
  </si>
  <si>
    <t>UC3</t>
  </si>
  <si>
    <t>UC4</t>
  </si>
  <si>
    <t>UC5</t>
  </si>
  <si>
    <t>1.2. Indique el lugar dónde desea ser examinado</t>
  </si>
  <si>
    <t>Instalaciones del OEC - instalaciones externas:</t>
  </si>
  <si>
    <t>Sector:</t>
  </si>
  <si>
    <t xml:space="preserve">2. Proporcione datos sobre su educación, formación y experiencia laboral,  de acuerdo a los requisitos del esquema los cuales será de cumplimiento obligatorio </t>
  </si>
  <si>
    <t>2.1 Nivel de Educación de acuerdo a los requisitos del esquema</t>
  </si>
  <si>
    <t>NIVEL DE EDUCACIÓN</t>
  </si>
  <si>
    <t>INSTITUCIÓN EDUCATIVA</t>
  </si>
  <si>
    <t>Nombre Institución</t>
  </si>
  <si>
    <t>País</t>
  </si>
  <si>
    <t>Ciudad</t>
  </si>
  <si>
    <t>Título Obtenido</t>
  </si>
  <si>
    <t>Lectoescritura (C03) cuando aplique</t>
  </si>
  <si>
    <t>Primaria</t>
  </si>
  <si>
    <t>Secundaria</t>
  </si>
  <si>
    <t xml:space="preserve"> Artesano</t>
  </si>
  <si>
    <t>Tercer nivel</t>
  </si>
  <si>
    <t>Cuarto nivel</t>
  </si>
  <si>
    <t>2.2 Capacitación o formación recibida, de acuerdo a los requisitos del esquema (se consideraran unicamente de los ultimos cinco años)</t>
  </si>
  <si>
    <t>Nombre del curso</t>
  </si>
  <si>
    <t>Nombre de la institución que impartió el curso</t>
  </si>
  <si>
    <t>Fechas del curso</t>
  </si>
  <si>
    <t>Horas del Curso</t>
  </si>
  <si>
    <t>2.3 Experiencia laboral, de acuerdo a los requisitos del esquema</t>
  </si>
  <si>
    <t>Fecha ingreso al trabajo</t>
  </si>
  <si>
    <t>Datos de la Empresa</t>
  </si>
  <si>
    <t>Funciones que desempeñó</t>
  </si>
  <si>
    <t>Desde</t>
  </si>
  <si>
    <t>Hasta</t>
  </si>
  <si>
    <t>Nombre</t>
  </si>
  <si>
    <t>Dirección</t>
  </si>
  <si>
    <t>Teléfono</t>
  </si>
  <si>
    <t>3. Presentar como anexo a la aplicación los siguientes documentación (copias):</t>
  </si>
  <si>
    <t xml:space="preserve">Copia de cédula </t>
  </si>
  <si>
    <t>Autorización suscrita por el representante legal, en caso de ser menor de edad.</t>
  </si>
  <si>
    <t>Copia  del certificado de estudios</t>
  </si>
  <si>
    <t>Copia del certificado de trabajo</t>
  </si>
  <si>
    <t>Los candidatos extranjeros deberán presentar los documentos apostillados</t>
  </si>
  <si>
    <r>
      <rPr>
        <b/>
        <sz val="8"/>
        <color theme="1"/>
        <rFont val="Arial"/>
        <family val="2"/>
      </rPr>
      <t>4. Al firmar esta solicitud, me someto a las reglas y reglamentos de ASIB</t>
    </r>
    <r>
      <rPr>
        <b/>
        <sz val="8"/>
        <color indexed="8"/>
        <rFont val="Arial"/>
        <family val="2"/>
      </rPr>
      <t xml:space="preserve"> como organismo de certificación de personas. </t>
    </r>
  </si>
  <si>
    <r>
      <rPr>
        <sz val="8"/>
        <color theme="1"/>
        <rFont val="Arial"/>
        <family val="2"/>
      </rPr>
      <t>Declaro bajo prevenciones de Ley que la información aquí consignada es verídica y de mi entera responsabilidad; por lo cual, ASIB</t>
    </r>
    <r>
      <rPr>
        <sz val="8"/>
        <color indexed="10"/>
        <rFont val="Arial"/>
        <family val="2"/>
      </rPr>
      <t xml:space="preserve"> </t>
    </r>
    <r>
      <rPr>
        <sz val="8"/>
        <color indexed="8"/>
        <rFont val="Arial"/>
        <family val="2"/>
      </rPr>
      <t>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</si>
  <si>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t>Firma del candidato de acuerdo a cédula de identidad</t>
  </si>
  <si>
    <t>CONTROL DE EMISIÓN</t>
  </si>
  <si>
    <t>Elaboró</t>
  </si>
  <si>
    <t>Revisó </t>
  </si>
  <si>
    <t>Autorizó</t>
  </si>
  <si>
    <t>Fernanda Prado</t>
  </si>
  <si>
    <t>Gabriela Pillajo</t>
  </si>
  <si>
    <t>Fanny Maldonado</t>
  </si>
  <si>
    <t>Cargo</t>
  </si>
  <si>
    <t>Analista de Certificación y control</t>
  </si>
  <si>
    <t>Responsable de procesos de certificación  y control</t>
  </si>
  <si>
    <t>Coordinador del Comité de Certificación de ASIB</t>
  </si>
  <si>
    <t>Firma</t>
  </si>
  <si>
    <t>Gestión de soldadura</t>
  </si>
  <si>
    <t>-</t>
  </si>
  <si>
    <t>Perfil</t>
  </si>
  <si>
    <t>Esquema</t>
  </si>
  <si>
    <t>Prevención de riesgos laborales</t>
  </si>
  <si>
    <t>Prevención de riesgos laborales en actividades de alto riesgo: construcción y obra civil</t>
  </si>
  <si>
    <t>X</t>
  </si>
  <si>
    <t>Prevención de riesgos laborales en actividades de alto riesgo: energía eléctrica</t>
  </si>
  <si>
    <t>Asistencia en seguridad industrial</t>
  </si>
  <si>
    <t>Facilitación en actividades de capacitación</t>
  </si>
  <si>
    <t>Facilitación en actividades de capacitación-formación dual</t>
  </si>
  <si>
    <t>Gestión ambiental</t>
  </si>
  <si>
    <t>Soldadura</t>
  </si>
  <si>
    <t>Perfiles</t>
  </si>
  <si>
    <t>Prevención_de_riesgos_laborales</t>
  </si>
  <si>
    <t>Gestión de Soldadura</t>
  </si>
  <si>
    <t>LOGO OEC</t>
  </si>
  <si>
    <t>NOMBRE DEL OEC</t>
  </si>
  <si>
    <t>xxxx-C02</t>
  </si>
  <si>
    <t>dd/mm/aaaa</t>
  </si>
  <si>
    <t>DCR-V03-2021</t>
  </si>
  <si>
    <t>Page 1 of 3</t>
  </si>
  <si>
    <t>Fecha ingreso:</t>
  </si>
  <si>
    <t>1. Seleccione el Esquema de Competencia y Unidades de Competencia para los que desea aplicar:</t>
  </si>
  <si>
    <t>Puede elegir una, varias o todas las unidades de competencia por el esquema de certificación</t>
  </si>
  <si>
    <t>1.1. Seleccione el Esquema de Competencia y Unidades de Competencia para los que desea aplicar:</t>
  </si>
  <si>
    <t>ESQUEMA</t>
  </si>
  <si>
    <t>Perfil Profesional</t>
  </si>
  <si>
    <t>Empresa o lugar:</t>
  </si>
  <si>
    <t>2. Proporcione datos sobre su educación, formación y experiencia laboral,  de acuerdo a los requisitos del esquema</t>
  </si>
  <si>
    <t>Técnico, Tecnólogo o Artesano</t>
  </si>
  <si>
    <t>2.2 Capacitación o formación recibida, de acuerdo a los requisitos del esquema</t>
  </si>
  <si>
    <t>Copia de cédula y papeleta de votación</t>
  </si>
  <si>
    <t>Copia del Pago de las Tasas de acuerdo a la certificación solicitada</t>
  </si>
  <si>
    <t>Declaración de acuerdo para el cumplimiento de requisitos de certificación y toda información necesaria para la evaluación.</t>
  </si>
  <si>
    <t>Solicitud para necesidades especiales para grupos de atención prioritaria (de ser requerido).</t>
  </si>
  <si>
    <t>En el caso de solicitar ampliar las unidades de competencia de los esquemas se debere alimentar este formulario especificando los requerimientos (de ser el caso)</t>
  </si>
  <si>
    <r>
      <rPr>
        <b/>
        <sz val="8"/>
        <color theme="1"/>
        <rFont val="Arial"/>
        <family val="2"/>
      </rPr>
      <t xml:space="preserve">4. Al firmar esta solicitud, me someto a las reglas y reglamentos del </t>
    </r>
    <r>
      <rPr>
        <b/>
        <sz val="8"/>
        <color indexed="10"/>
        <rFont val="Arial"/>
        <family val="2"/>
      </rPr>
      <t>(Nombre del OEC)</t>
    </r>
    <r>
      <rPr>
        <b/>
        <sz val="8"/>
        <color indexed="8"/>
        <rFont val="Arial"/>
        <family val="2"/>
      </rPr>
      <t xml:space="preserve"> como organismo de certificación de personas. </t>
    </r>
  </si>
  <si>
    <r>
      <rPr>
        <sz val="8"/>
        <color theme="1"/>
        <rFont val="Arial"/>
        <family val="2"/>
      </rPr>
      <t xml:space="preserve">Declaro bajo prevenciones de Ley que la información aquí consignada es verídica y de mi entera responsabilidad; por lo cual, el </t>
    </r>
    <r>
      <rPr>
        <sz val="8"/>
        <color indexed="10"/>
        <rFont val="Arial"/>
        <family val="2"/>
      </rPr>
      <t xml:space="preserve">(Nombre del OEC) </t>
    </r>
    <r>
      <rPr>
        <sz val="8"/>
        <color indexed="8"/>
        <rFont val="Arial"/>
        <family val="2"/>
      </rPr>
      <t>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</si>
  <si>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t>Firma del candidato</t>
  </si>
  <si>
    <r>
      <rPr>
        <sz val="8"/>
        <color theme="1"/>
        <rFont val="Arial"/>
        <family val="2"/>
      </rPr>
      <t xml:space="preserve">Este formulario debe ser entregado en la oficina matriz de la </t>
    </r>
    <r>
      <rPr>
        <sz val="8"/>
        <color indexed="10"/>
        <rFont val="Arial"/>
        <family val="2"/>
      </rPr>
      <t>(NOMBRE DEL OEC) (DIRECCION OEC)</t>
    </r>
  </si>
  <si>
    <t>FUNDACIÓN SOCIAL
 ¨MAMITA LUCRECIA FUMALU¨</t>
  </si>
  <si>
    <t>GSFL-C02</t>
  </si>
  <si>
    <t>00 000 0000</t>
  </si>
  <si>
    <t>PREVENCIÓN DE RIESGOS LABORALES EN ACTIVIDADES DE ALTO RIESGO</t>
  </si>
  <si>
    <t>0987583322</t>
  </si>
  <si>
    <t>.</t>
  </si>
  <si>
    <r>
      <t>4. Al firmar esta solicitud, me someto a las reglas y reglamentos de FUNDACIÓN SOCIAL ¨MAMITA LUCRECIA FUMALU¨</t>
    </r>
    <r>
      <rPr>
        <b/>
        <sz val="8"/>
        <color indexed="8"/>
        <rFont val="Arial"/>
        <family val="2"/>
      </rPr>
      <t xml:space="preserve">como organismo de certificación de personas. </t>
    </r>
  </si>
  <si>
    <t>PREVENCIÓN DE RIESGOS LABORALES EN ACTIVIDADES DE ALTO RIESGO: CONSTRUCCIÓN Y OBRA CIVIL</t>
  </si>
  <si>
    <t xml:space="preserve">GUAYAS </t>
  </si>
  <si>
    <t xml:space="preserve">INSTALACIONES EXTERNAS-TECNOLOGICO UNIVERSITARIO EURO AMERICANO </t>
  </si>
  <si>
    <t xml:space="preserve">PRIMERO DE MAYO 812 ENTRE LOS RIOS Y ESMRALDAS </t>
  </si>
  <si>
    <t xml:space="preserve">GUAYAQUIL </t>
  </si>
  <si>
    <t xml:space="preserve">ECUADOR </t>
  </si>
  <si>
    <t>GSFL-FRM-PRLC-000054</t>
  </si>
  <si>
    <t>RAMIREZ REYES ISIDRO</t>
  </si>
  <si>
    <t>0702994914</t>
  </si>
  <si>
    <t>irrnur@gmail.com</t>
  </si>
  <si>
    <t>GUAYAQUIL / TARQUI</t>
  </si>
  <si>
    <t>cdla. Bellavista Mz 65 v- 23-1</t>
  </si>
  <si>
    <t>0998407787</t>
  </si>
  <si>
    <t>COLEGIO DE BACHILLERATO ZOILA UGARTE DE LANDIVAR</t>
  </si>
  <si>
    <t xml:space="preserve">BACHILLER FISICO </t>
  </si>
  <si>
    <t xml:space="preserve">EL ORO </t>
  </si>
  <si>
    <t>EMPRESA MUNICIPAL DE AGUA POTABLE Y ALCANTARILLADO 
DE GUAYAQUIL EMAPAG EP</t>
  </si>
  <si>
    <t>GUAYAQUIL</t>
  </si>
  <si>
    <t xml:space="preserve">ESPECIALISTA ESTRUCTURAL </t>
  </si>
  <si>
    <t>ARQUITECTO DE ACABADOS</t>
  </si>
  <si>
    <t xml:space="preserve">SARGENTO VARGAS 114 Y AV OLMEDO </t>
  </si>
  <si>
    <t>04-240-0719</t>
  </si>
  <si>
    <t xml:space="preserve">ALCALDIA DE GUAYAQUIL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</si>
</sst>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540A]dd\-mmm\-yy;@"/>
    <numFmt numFmtId="165" formatCode="&quot;ASIB-FMR-2026-&quot;0000"/>
    <numFmt numFmtId="166" formatCode="dd/mm/yyyy;@"/>
    <numFmt numFmtId="167" formatCode="[$-1540A]mm/dd/yy;@"/>
  </numFmts>
  <fonts count="25">
    <font>
      <sz val="11"/>
      <color theme="1"/>
      <name val="Calibri"/>
      <charset val="134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8"/>
      <color rgb="FF1F497D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8"/>
      <color theme="1"/>
      <name val="Century Gothic"/>
      <family val="2"/>
    </font>
    <font>
      <sz val="7.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-0.499984740745262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48">
    <xf numFmtId="0" fontId="0" fillId="0" borderId="0" xfId="0"/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vertical="center" readingOrder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7" fillId="2" borderId="7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7" fillId="2" borderId="0" xfId="0" applyFont="1" applyFill="1" applyProtection="1">
      <protection locked="0"/>
    </xf>
    <xf numFmtId="0" fontId="7" fillId="2" borderId="12" xfId="0" applyFont="1" applyFill="1" applyBorder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left" vertical="center" wrapText="1"/>
      <protection locked="0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5" borderId="1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3" fillId="5" borderId="12" xfId="0" applyFont="1" applyFill="1" applyBorder="1" applyAlignment="1" applyProtection="1">
      <alignment horizontal="center" vertical="center" wrapText="1"/>
      <protection locked="0"/>
    </xf>
    <xf numFmtId="0" fontId="10" fillId="5" borderId="16" xfId="0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vertical="center" wrapText="1"/>
      <protection locked="0"/>
    </xf>
    <xf numFmtId="0" fontId="2" fillId="3" borderId="13" xfId="0" applyFont="1" applyFill="1" applyBorder="1" applyAlignment="1" applyProtection="1">
      <alignment vertical="center"/>
      <protection locked="0"/>
    </xf>
    <xf numFmtId="0" fontId="2" fillId="3" borderId="14" xfId="0" applyFont="1" applyFill="1" applyBorder="1" applyAlignment="1" applyProtection="1">
      <alignment vertical="center"/>
      <protection locked="0"/>
    </xf>
    <xf numFmtId="0" fontId="2" fillId="3" borderId="15" xfId="0" applyFont="1" applyFill="1" applyBorder="1" applyAlignment="1" applyProtection="1">
      <alignment vertical="center"/>
      <protection locked="0"/>
    </xf>
    <xf numFmtId="49" fontId="2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7" fillId="2" borderId="12" xfId="0" applyFont="1" applyFill="1" applyBorder="1" applyProtection="1"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7" fillId="2" borderId="12" xfId="0" applyFont="1" applyFill="1" applyBorder="1" applyAlignment="1" applyProtection="1">
      <alignment vertical="center" wrapText="1"/>
      <protection locked="0"/>
    </xf>
    <xf numFmtId="0" fontId="7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1" fillId="2" borderId="0" xfId="0" applyFont="1" applyFill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3" fillId="5" borderId="13" xfId="0" applyFont="1" applyFill="1" applyBorder="1" applyAlignment="1" applyProtection="1">
      <alignment vertical="center" wrapText="1"/>
      <protection locked="0"/>
    </xf>
    <xf numFmtId="0" fontId="5" fillId="2" borderId="12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 wrapText="1"/>
      <protection locked="0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 indent="1" readingOrder="1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3" fillId="6" borderId="27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3" fillId="6" borderId="49" xfId="0" applyFont="1" applyFill="1" applyBorder="1" applyAlignment="1" applyProtection="1">
      <alignment horizontal="center" vertical="center"/>
      <protection locked="0"/>
    </xf>
    <xf numFmtId="0" fontId="10" fillId="6" borderId="27" xfId="0" applyFont="1" applyFill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3" fillId="6" borderId="56" xfId="0" applyFont="1" applyFill="1" applyBorder="1" applyAlignment="1" applyProtection="1">
      <alignment horizontal="center" vertical="center" wrapText="1"/>
      <protection locked="0"/>
    </xf>
    <xf numFmtId="0" fontId="3" fillId="6" borderId="59" xfId="0" applyFont="1" applyFill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left"/>
      <protection locked="0"/>
    </xf>
    <xf numFmtId="0" fontId="7" fillId="2" borderId="47" xfId="0" applyFont="1" applyFill="1" applyBorder="1" applyProtection="1">
      <protection locked="0"/>
    </xf>
    <xf numFmtId="0" fontId="7" fillId="2" borderId="55" xfId="0" applyFont="1" applyFill="1" applyBorder="1" applyProtection="1">
      <protection locked="0"/>
    </xf>
    <xf numFmtId="0" fontId="7" fillId="2" borderId="27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7" fillId="2" borderId="27" xfId="0" applyFont="1" applyFill="1" applyBorder="1" applyAlignment="1" applyProtection="1">
      <alignment horizontal="left"/>
      <protection locked="0"/>
    </xf>
    <xf numFmtId="0" fontId="7" fillId="2" borderId="28" xfId="0" applyFont="1" applyFill="1" applyBorder="1" applyAlignment="1" applyProtection="1">
      <alignment vertical="center" wrapText="1"/>
      <protection locked="0"/>
    </xf>
    <xf numFmtId="0" fontId="7" fillId="2" borderId="43" xfId="0" applyFont="1" applyFill="1" applyBorder="1" applyAlignment="1" applyProtection="1">
      <alignment vertical="center" wrapText="1"/>
      <protection locked="0"/>
    </xf>
    <xf numFmtId="0" fontId="7" fillId="2" borderId="29" xfId="0" applyFont="1" applyFill="1" applyBorder="1" applyAlignment="1" applyProtection="1">
      <alignment vertical="center" wrapText="1"/>
      <protection locked="0"/>
    </xf>
    <xf numFmtId="0" fontId="15" fillId="7" borderId="12" xfId="0" applyFont="1" applyFill="1" applyBorder="1" applyAlignment="1" applyProtection="1">
      <alignment horizontal="center" vertical="center" wrapText="1"/>
      <protection locked="0"/>
    </xf>
    <xf numFmtId="0" fontId="5" fillId="2" borderId="25" xfId="0" applyFont="1" applyFill="1" applyBorder="1" applyAlignment="1" applyProtection="1">
      <alignment vertical="center" wrapText="1"/>
      <protection locked="0"/>
    </xf>
    <xf numFmtId="0" fontId="5" fillId="2" borderId="23" xfId="0" applyFont="1" applyFill="1" applyBorder="1" applyAlignment="1" applyProtection="1">
      <alignment vertical="center" wrapText="1"/>
      <protection locked="0"/>
    </xf>
    <xf numFmtId="0" fontId="5" fillId="2" borderId="27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1" fillId="2" borderId="0" xfId="0" applyFont="1" applyFill="1" applyAlignment="1" applyProtection="1">
      <alignment horizontal="left" vertical="center"/>
      <protection locked="0"/>
    </xf>
    <xf numFmtId="0" fontId="22" fillId="2" borderId="0" xfId="0" applyFont="1" applyFill="1" applyAlignment="1" applyProtection="1">
      <alignment horizontal="left" vertical="center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2" borderId="0" xfId="0" applyFont="1" applyFill="1" applyAlignment="1" applyProtection="1">
      <alignment horizontal="left"/>
      <protection locked="0"/>
    </xf>
    <xf numFmtId="0" fontId="23" fillId="2" borderId="0" xfId="0" applyFont="1" applyFill="1" applyProtection="1">
      <protection locked="0"/>
    </xf>
    <xf numFmtId="0" fontId="7" fillId="2" borderId="23" xfId="0" applyFont="1" applyFill="1" applyBorder="1" applyAlignment="1" applyProtection="1">
      <alignment horizontal="center" vertical="center"/>
      <protection hidden="1"/>
    </xf>
    <xf numFmtId="0" fontId="3" fillId="6" borderId="23" xfId="0" applyFont="1" applyFill="1" applyBorder="1" applyAlignment="1" applyProtection="1">
      <alignment horizontal="center" vertical="center"/>
      <protection locked="0"/>
    </xf>
    <xf numFmtId="164" fontId="21" fillId="2" borderId="43" xfId="0" applyNumberFormat="1" applyFont="1" applyFill="1" applyBorder="1" applyAlignment="1" applyProtection="1">
      <alignment horizontal="center" vertical="center" wrapText="1"/>
      <protection locked="0"/>
    </xf>
    <xf numFmtId="167" fontId="24" fillId="2" borderId="2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left" vertical="center" indent="1"/>
      <protection locked="0"/>
    </xf>
    <xf numFmtId="14" fontId="0" fillId="0" borderId="12" xfId="0" applyNumberFormat="1" applyBorder="1" applyAlignment="1" applyProtection="1">
      <alignment horizontal="left" vertical="center" indent="1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 applyProtection="1">
      <alignment horizontal="center"/>
      <protection locked="0"/>
    </xf>
    <xf numFmtId="0" fontId="7" fillId="2" borderId="23" xfId="0" applyFont="1" applyFill="1" applyBorder="1" applyAlignment="1" applyProtection="1">
      <alignment horizontal="left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3" fillId="6" borderId="25" xfId="0" applyFont="1" applyFill="1" applyBorder="1" applyAlignment="1" applyProtection="1">
      <alignment horizontal="center" vertical="center" wrapText="1"/>
      <protection locked="0"/>
    </xf>
    <xf numFmtId="0" fontId="3" fillId="6" borderId="48" xfId="0" applyFont="1" applyFill="1" applyBorder="1" applyAlignment="1" applyProtection="1">
      <alignment horizontal="center" vertical="center" wrapText="1"/>
      <protection locked="0"/>
    </xf>
    <xf numFmtId="0" fontId="7" fillId="2" borderId="30" xfId="0" applyFont="1" applyFill="1" applyBorder="1" applyAlignment="1" applyProtection="1">
      <alignment horizontal="center"/>
      <protection locked="0"/>
    </xf>
    <xf numFmtId="0" fontId="7" fillId="2" borderId="31" xfId="0" applyFont="1" applyFill="1" applyBorder="1" applyAlignment="1" applyProtection="1">
      <alignment horizontal="center"/>
      <protection locked="0"/>
    </xf>
    <xf numFmtId="0" fontId="7" fillId="2" borderId="32" xfId="0" applyFont="1" applyFill="1" applyBorder="1" applyAlignment="1" applyProtection="1">
      <alignment horizontal="center"/>
      <protection locked="0"/>
    </xf>
    <xf numFmtId="0" fontId="7" fillId="2" borderId="47" xfId="0" applyFont="1" applyFill="1" applyBorder="1" applyAlignment="1" applyProtection="1">
      <alignment horizontal="center" vertical="center"/>
      <protection locked="0"/>
    </xf>
    <xf numFmtId="0" fontId="7" fillId="2" borderId="38" xfId="0" applyFont="1" applyFill="1" applyBorder="1" applyAlignment="1" applyProtection="1">
      <alignment horizontal="center"/>
      <protection locked="0"/>
    </xf>
    <xf numFmtId="0" fontId="7" fillId="2" borderId="39" xfId="0" applyFont="1" applyFill="1" applyBorder="1" applyAlignment="1" applyProtection="1">
      <alignment horizontal="center"/>
      <protection locked="0"/>
    </xf>
    <xf numFmtId="0" fontId="7" fillId="2" borderId="40" xfId="0" applyFont="1" applyFill="1" applyBorder="1" applyAlignment="1" applyProtection="1">
      <alignment horizont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3" fillId="6" borderId="30" xfId="0" applyFont="1" applyFill="1" applyBorder="1" applyAlignment="1" applyProtection="1">
      <alignment vertical="center" wrapText="1"/>
      <protection locked="0"/>
    </xf>
    <xf numFmtId="0" fontId="3" fillId="6" borderId="31" xfId="0" applyFont="1" applyFill="1" applyBorder="1" applyAlignment="1" applyProtection="1">
      <alignment vertical="center" wrapText="1"/>
      <protection locked="0"/>
    </xf>
    <xf numFmtId="0" fontId="3" fillId="6" borderId="32" xfId="0" applyFont="1" applyFill="1" applyBorder="1" applyAlignment="1" applyProtection="1">
      <alignment vertical="center" wrapText="1"/>
      <protection locked="0"/>
    </xf>
    <xf numFmtId="0" fontId="5" fillId="2" borderId="33" xfId="0" applyFont="1" applyFill="1" applyBorder="1" applyAlignment="1" applyProtection="1">
      <alignment horizontal="center" vertical="center" wrapText="1"/>
      <protection locked="0"/>
    </xf>
    <xf numFmtId="0" fontId="5" fillId="2" borderId="31" xfId="0" applyFont="1" applyFill="1" applyBorder="1" applyAlignment="1" applyProtection="1">
      <alignment horizontal="center" vertical="center" wrapText="1"/>
      <protection locked="0"/>
    </xf>
    <xf numFmtId="0" fontId="5" fillId="2" borderId="50" xfId="0" applyFont="1" applyFill="1" applyBorder="1" applyAlignment="1" applyProtection="1">
      <alignment horizontal="center" vertical="center" wrapText="1"/>
      <protection locked="0"/>
    </xf>
    <xf numFmtId="0" fontId="3" fillId="6" borderId="34" xfId="0" applyFont="1" applyFill="1" applyBorder="1" applyAlignment="1" applyProtection="1">
      <alignment vertical="center" wrapText="1"/>
      <protection locked="0"/>
    </xf>
    <xf numFmtId="0" fontId="3" fillId="6" borderId="35" xfId="0" applyFont="1" applyFill="1" applyBorder="1" applyAlignment="1" applyProtection="1">
      <alignment vertical="center" wrapText="1"/>
      <protection locked="0"/>
    </xf>
    <xf numFmtId="0" fontId="3" fillId="6" borderId="36" xfId="0" applyFont="1" applyFill="1" applyBorder="1" applyAlignment="1" applyProtection="1">
      <alignment vertical="center" wrapText="1"/>
      <protection locked="0"/>
    </xf>
    <xf numFmtId="0" fontId="5" fillId="2" borderId="37" xfId="0" applyFont="1" applyFill="1" applyBorder="1" applyAlignment="1" applyProtection="1">
      <alignment horizontal="center" vertical="center" wrapText="1"/>
      <protection locked="0"/>
    </xf>
    <xf numFmtId="0" fontId="5" fillId="2" borderId="35" xfId="0" applyFont="1" applyFill="1" applyBorder="1" applyAlignment="1" applyProtection="1">
      <alignment horizontal="center" vertical="center" wrapText="1"/>
      <protection locked="0"/>
    </xf>
    <xf numFmtId="0" fontId="5" fillId="2" borderId="51" xfId="0" applyFont="1" applyFill="1" applyBorder="1" applyAlignment="1" applyProtection="1">
      <alignment horizontal="center" vertical="center" wrapText="1"/>
      <protection locked="0"/>
    </xf>
    <xf numFmtId="0" fontId="3" fillId="6" borderId="38" xfId="0" applyFont="1" applyFill="1" applyBorder="1" applyAlignment="1" applyProtection="1">
      <alignment vertical="center" wrapText="1"/>
      <protection locked="0"/>
    </xf>
    <xf numFmtId="0" fontId="3" fillId="6" borderId="39" xfId="0" applyFont="1" applyFill="1" applyBorder="1" applyAlignment="1" applyProtection="1">
      <alignment vertical="center" wrapText="1"/>
      <protection locked="0"/>
    </xf>
    <xf numFmtId="0" fontId="3" fillId="6" borderId="40" xfId="0" applyFont="1" applyFill="1" applyBorder="1" applyAlignment="1" applyProtection="1">
      <alignment vertical="center" wrapText="1"/>
      <protection locked="0"/>
    </xf>
    <xf numFmtId="0" fontId="5" fillId="2" borderId="41" xfId="0" applyFont="1" applyFill="1" applyBorder="1" applyAlignment="1" applyProtection="1">
      <alignment horizontal="center" vertical="center" wrapText="1"/>
      <protection locked="0"/>
    </xf>
    <xf numFmtId="0" fontId="5" fillId="2" borderId="39" xfId="0" applyFont="1" applyFill="1" applyBorder="1" applyAlignment="1" applyProtection="1">
      <alignment horizontal="center" vertical="center" wrapText="1"/>
      <protection locked="0"/>
    </xf>
    <xf numFmtId="0" fontId="5" fillId="2" borderId="52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6" borderId="33" xfId="0" applyFont="1" applyFill="1" applyBorder="1" applyAlignment="1" applyProtection="1">
      <alignment horizontal="center" vertical="center" wrapText="1"/>
      <protection locked="0"/>
    </xf>
    <xf numFmtId="0" fontId="3" fillId="6" borderId="31" xfId="0" applyFont="1" applyFill="1" applyBorder="1" applyAlignment="1" applyProtection="1">
      <alignment horizontal="center" vertical="center" wrapText="1"/>
      <protection locked="0"/>
    </xf>
    <xf numFmtId="0" fontId="3" fillId="6" borderId="50" xfId="0" applyFont="1" applyFill="1" applyBorder="1" applyAlignment="1" applyProtection="1">
      <alignment horizontal="center" vertical="center" wrapText="1"/>
      <protection locked="0"/>
    </xf>
    <xf numFmtId="0" fontId="10" fillId="6" borderId="41" xfId="0" applyFont="1" applyFill="1" applyBorder="1" applyAlignment="1" applyProtection="1">
      <alignment horizontal="center" vertical="center" wrapText="1"/>
      <protection locked="0"/>
    </xf>
    <xf numFmtId="0" fontId="10" fillId="6" borderId="39" xfId="0" applyFont="1" applyFill="1" applyBorder="1" applyAlignment="1" applyProtection="1">
      <alignment horizontal="center" vertical="center" wrapText="1"/>
      <protection locked="0"/>
    </xf>
    <xf numFmtId="0" fontId="10" fillId="6" borderId="40" xfId="0" applyFont="1" applyFill="1" applyBorder="1" applyAlignment="1" applyProtection="1">
      <alignment horizontal="center" vertical="center" wrapText="1"/>
      <protection locked="0"/>
    </xf>
    <xf numFmtId="0" fontId="10" fillId="6" borderId="27" xfId="0" applyFont="1" applyFill="1" applyBorder="1" applyAlignment="1" applyProtection="1">
      <alignment horizontal="center" vertical="center" wrapText="1"/>
      <protection locked="0"/>
    </xf>
    <xf numFmtId="0" fontId="10" fillId="6" borderId="49" xfId="0" applyFont="1" applyFill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left" vertical="center" wrapText="1"/>
      <protection locked="0"/>
    </xf>
    <xf numFmtId="0" fontId="2" fillId="0" borderId="32" xfId="0" applyFont="1" applyBorder="1" applyAlignment="1" applyProtection="1">
      <alignment horizontal="left" vertical="center" wrapText="1"/>
      <protection locked="0"/>
    </xf>
    <xf numFmtId="0" fontId="10" fillId="0" borderId="25" xfId="0" applyFont="1" applyBorder="1" applyAlignment="1" applyProtection="1">
      <alignment horizontal="center" vertical="center" wrapText="1"/>
      <protection locked="0"/>
    </xf>
    <xf numFmtId="0" fontId="10" fillId="0" borderId="48" xfId="0" applyFont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7" fillId="2" borderId="53" xfId="0" applyFont="1" applyFill="1" applyBorder="1" applyAlignment="1" applyProtection="1">
      <alignment horizontal="left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23" xfId="0" applyFont="1" applyFill="1" applyBorder="1" applyAlignment="1" applyProtection="1">
      <alignment horizontal="left" vertical="center" wrapText="1"/>
      <protection locked="0"/>
    </xf>
    <xf numFmtId="0" fontId="2" fillId="2" borderId="29" xfId="0" applyFont="1" applyFill="1" applyBorder="1" applyAlignment="1" applyProtection="1">
      <alignment horizontal="left" vertical="center" wrapText="1"/>
      <protection locked="0"/>
    </xf>
    <xf numFmtId="0" fontId="2" fillId="2" borderId="27" xfId="0" applyFont="1" applyFill="1" applyBorder="1" applyAlignment="1" applyProtection="1">
      <alignment horizontal="left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7" fillId="2" borderId="27" xfId="0" applyFont="1" applyFill="1" applyBorder="1" applyAlignment="1" applyProtection="1">
      <alignment horizontal="left"/>
      <protection locked="0"/>
    </xf>
    <xf numFmtId="0" fontId="7" fillId="2" borderId="49" xfId="0" applyFont="1" applyFill="1" applyBorder="1" applyAlignment="1" applyProtection="1">
      <alignment horizontal="left"/>
      <protection locked="0"/>
    </xf>
    <xf numFmtId="0" fontId="3" fillId="6" borderId="44" xfId="0" applyFont="1" applyFill="1" applyBorder="1" applyAlignment="1" applyProtection="1">
      <alignment horizontal="center" vertical="center"/>
      <protection locked="0"/>
    </xf>
    <xf numFmtId="0" fontId="3" fillId="6" borderId="45" xfId="0" applyFont="1" applyFill="1" applyBorder="1" applyAlignment="1" applyProtection="1">
      <alignment horizontal="center" vertical="center"/>
      <protection locked="0"/>
    </xf>
    <xf numFmtId="0" fontId="3" fillId="6" borderId="45" xfId="0" applyFont="1" applyFill="1" applyBorder="1" applyAlignment="1" applyProtection="1">
      <alignment horizontal="center" vertical="center" wrapText="1"/>
      <protection locked="0"/>
    </xf>
    <xf numFmtId="0" fontId="3" fillId="6" borderId="54" xfId="0" applyFont="1" applyFill="1" applyBorder="1" applyAlignment="1" applyProtection="1">
      <alignment horizontal="center" vertical="center" wrapText="1"/>
      <protection locked="0"/>
    </xf>
    <xf numFmtId="0" fontId="7" fillId="2" borderId="46" xfId="0" applyFont="1" applyFill="1" applyBorder="1" applyAlignment="1" applyProtection="1">
      <alignment horizontal="center"/>
      <protection locked="0"/>
    </xf>
    <xf numFmtId="0" fontId="7" fillId="2" borderId="47" xfId="0" applyFont="1" applyFill="1" applyBorder="1" applyAlignment="1" applyProtection="1">
      <alignment horizontal="center"/>
      <protection locked="0"/>
    </xf>
    <xf numFmtId="0" fontId="7" fillId="2" borderId="55" xfId="0" applyFont="1" applyFill="1" applyBorder="1" applyAlignment="1" applyProtection="1">
      <alignment horizontal="center"/>
      <protection locked="0"/>
    </xf>
    <xf numFmtId="0" fontId="7" fillId="2" borderId="43" xfId="0" applyFont="1" applyFill="1" applyBorder="1" applyAlignment="1" applyProtection="1">
      <alignment horizontal="center"/>
      <protection locked="0"/>
    </xf>
    <xf numFmtId="0" fontId="7" fillId="2" borderId="23" xfId="0" applyFont="1" applyFill="1" applyBorder="1" applyAlignment="1" applyProtection="1">
      <alignment horizontal="center"/>
      <protection locked="0"/>
    </xf>
    <xf numFmtId="0" fontId="7" fillId="2" borderId="53" xfId="0" applyFont="1" applyFill="1" applyBorder="1" applyAlignment="1" applyProtection="1">
      <alignment horizontal="center"/>
      <protection locked="0"/>
    </xf>
    <xf numFmtId="0" fontId="7" fillId="2" borderId="29" xfId="0" applyFont="1" applyFill="1" applyBorder="1" applyAlignment="1" applyProtection="1">
      <alignment horizontal="center"/>
      <protection locked="0"/>
    </xf>
    <xf numFmtId="0" fontId="7" fillId="2" borderId="27" xfId="0" applyFont="1" applyFill="1" applyBorder="1" applyAlignment="1" applyProtection="1">
      <alignment horizontal="center"/>
      <protection locked="0"/>
    </xf>
    <xf numFmtId="0" fontId="7" fillId="2" borderId="49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6" borderId="30" xfId="0" applyFont="1" applyFill="1" applyBorder="1" applyAlignment="1" applyProtection="1">
      <alignment horizontal="center" vertical="center" wrapText="1"/>
      <protection locked="0"/>
    </xf>
    <xf numFmtId="0" fontId="3" fillId="6" borderId="32" xfId="0" applyFont="1" applyFill="1" applyBorder="1" applyAlignment="1" applyProtection="1">
      <alignment horizontal="center" vertical="center" wrapText="1"/>
      <protection locked="0"/>
    </xf>
    <xf numFmtId="0" fontId="3" fillId="6" borderId="57" xfId="0" applyFont="1" applyFill="1" applyBorder="1" applyAlignment="1" applyProtection="1">
      <alignment horizontal="center" vertical="center" wrapText="1"/>
      <protection locked="0"/>
    </xf>
    <xf numFmtId="0" fontId="3" fillId="6" borderId="58" xfId="0" applyFont="1" applyFill="1" applyBorder="1" applyAlignment="1" applyProtection="1">
      <alignment horizontal="center" vertical="center" wrapText="1"/>
      <protection locked="0"/>
    </xf>
    <xf numFmtId="0" fontId="3" fillId="6" borderId="59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60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15" fillId="7" borderId="13" xfId="0" applyFont="1" applyFill="1" applyBorder="1" applyAlignment="1" applyProtection="1">
      <alignment horizontal="center" vertical="center" wrapText="1"/>
      <protection locked="0"/>
    </xf>
    <xf numFmtId="0" fontId="15" fillId="7" borderId="14" xfId="0" applyFont="1" applyFill="1" applyBorder="1" applyAlignment="1" applyProtection="1">
      <alignment horizontal="center" vertical="center" wrapText="1"/>
      <protection locked="0"/>
    </xf>
    <xf numFmtId="0" fontId="15" fillId="7" borderId="15" xfId="0" applyFont="1" applyFill="1" applyBorder="1" applyAlignment="1" applyProtection="1">
      <alignment horizontal="center" vertical="center" wrapText="1"/>
      <protection locked="0"/>
    </xf>
    <xf numFmtId="0" fontId="7" fillId="2" borderId="25" xfId="0" applyFont="1" applyFill="1" applyBorder="1" applyAlignment="1" applyProtection="1">
      <alignment horizontal="center" vertical="center" wrapText="1"/>
      <protection locked="0"/>
    </xf>
    <xf numFmtId="0" fontId="5" fillId="2" borderId="25" xfId="0" applyFont="1" applyFill="1" applyBorder="1" applyAlignment="1" applyProtection="1">
      <alignment horizontal="center" vertical="center" wrapText="1"/>
      <protection locked="0"/>
    </xf>
    <xf numFmtId="0" fontId="5" fillId="2" borderId="48" xfId="0" applyFont="1" applyFill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5" fillId="2" borderId="23" xfId="0" applyFont="1" applyFill="1" applyBorder="1" applyAlignment="1" applyProtection="1">
      <alignment horizontal="center" vertical="center" wrapText="1"/>
      <protection locked="0"/>
    </xf>
    <xf numFmtId="0" fontId="5" fillId="2" borderId="53" xfId="0" applyFont="1" applyFill="1" applyBorder="1" applyAlignment="1" applyProtection="1">
      <alignment horizontal="center" vertical="center" wrapText="1"/>
      <protection locked="0"/>
    </xf>
    <xf numFmtId="0" fontId="7" fillId="2" borderId="27" xfId="0" applyFont="1" applyFill="1" applyBorder="1" applyAlignment="1" applyProtection="1">
      <alignment horizontal="center" vertical="center" wrapText="1"/>
      <protection locked="0"/>
    </xf>
    <xf numFmtId="0" fontId="5" fillId="2" borderId="27" xfId="0" applyFont="1" applyFill="1" applyBorder="1" applyAlignment="1" applyProtection="1">
      <alignment horizontal="center" vertical="center" wrapText="1"/>
      <protection locked="0"/>
    </xf>
    <xf numFmtId="0" fontId="5" fillId="2" borderId="49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3" fillId="6" borderId="6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10" fillId="6" borderId="2" xfId="0" applyFont="1" applyFill="1" applyBorder="1" applyAlignment="1" applyProtection="1">
      <alignment horizontal="center" vertical="center" wrapText="1"/>
      <protection locked="0"/>
    </xf>
    <xf numFmtId="0" fontId="10" fillId="6" borderId="24" xfId="0" applyFont="1" applyFill="1" applyBorder="1" applyAlignment="1" applyProtection="1">
      <alignment horizontal="center" vertical="center" wrapText="1"/>
      <protection locked="0"/>
    </xf>
    <xf numFmtId="0" fontId="10" fillId="6" borderId="8" xfId="0" applyFont="1" applyFill="1" applyBorder="1" applyAlignment="1" applyProtection="1">
      <alignment horizontal="center" vertical="center" wrapText="1"/>
      <protection locked="0"/>
    </xf>
    <xf numFmtId="0" fontId="10" fillId="6" borderId="26" xfId="0" applyFont="1" applyFill="1" applyBorder="1" applyAlignment="1" applyProtection="1">
      <alignment horizontal="center" vertical="center" wrapText="1"/>
      <protection locked="0"/>
    </xf>
    <xf numFmtId="0" fontId="3" fillId="6" borderId="25" xfId="0" applyFont="1" applyFill="1" applyBorder="1" applyAlignment="1" applyProtection="1">
      <alignment horizontal="center" vertical="center"/>
      <protection locked="0"/>
    </xf>
    <xf numFmtId="0" fontId="3" fillId="6" borderId="27" xfId="0" applyFont="1" applyFill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 applyProtection="1">
      <alignment horizontal="center" vertical="center"/>
      <protection locked="0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6" borderId="24" xfId="0" applyFont="1" applyFill="1" applyBorder="1" applyAlignment="1" applyProtection="1">
      <alignment horizontal="center" vertical="center"/>
      <protection locked="0"/>
    </xf>
    <xf numFmtId="0" fontId="3" fillId="6" borderId="8" xfId="0" applyFont="1" applyFill="1" applyBorder="1" applyAlignment="1" applyProtection="1">
      <alignment horizontal="center" vertical="center"/>
      <protection locked="0"/>
    </xf>
    <xf numFmtId="0" fontId="3" fillId="6" borderId="9" xfId="0" applyFont="1" applyFill="1" applyBorder="1" applyAlignment="1" applyProtection="1">
      <alignment horizontal="center" vertical="center"/>
      <protection locked="0"/>
    </xf>
    <xf numFmtId="0" fontId="3" fillId="6" borderId="26" xfId="0" applyFont="1" applyFill="1" applyBorder="1" applyAlignment="1" applyProtection="1">
      <alignment horizontal="center" vertical="center"/>
      <protection locked="0"/>
    </xf>
    <xf numFmtId="0" fontId="15" fillId="7" borderId="12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0" fillId="0" borderId="12" xfId="0" applyFont="1" applyBorder="1" applyAlignment="1" applyProtection="1">
      <alignment vertical="center"/>
      <protection locked="0"/>
    </xf>
    <xf numFmtId="0" fontId="20" fillId="0" borderId="12" xfId="0" applyFont="1" applyBorder="1" applyAlignment="1" applyProtection="1">
      <alignment horizontal="left" vertical="center" indent="1"/>
      <protection locked="0"/>
    </xf>
    <xf numFmtId="165" fontId="2" fillId="0" borderId="23" xfId="0" applyNumberFormat="1" applyFont="1" applyBorder="1" applyAlignment="1" applyProtection="1">
      <alignment horizontal="center" vertical="center"/>
      <protection locked="0"/>
    </xf>
    <xf numFmtId="166" fontId="2" fillId="0" borderId="23" xfId="0" applyNumberFormat="1" applyFont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 applyProtection="1">
      <alignment horizontal="center" vertical="center"/>
      <protection locked="0"/>
    </xf>
    <xf numFmtId="49" fontId="21" fillId="2" borderId="23" xfId="0" applyNumberFormat="1" applyFont="1" applyFill="1" applyBorder="1" applyAlignment="1" applyProtection="1">
      <alignment horizontal="center" vertical="center"/>
      <protection locked="0"/>
    </xf>
    <xf numFmtId="166" fontId="20" fillId="0" borderId="12" xfId="0" applyNumberFormat="1" applyFont="1" applyBorder="1" applyAlignment="1" applyProtection="1">
      <alignment horizontal="left" vertical="center" indent="1"/>
      <protection locked="0"/>
    </xf>
    <xf numFmtId="0" fontId="3" fillId="6" borderId="23" xfId="0" applyFont="1" applyFill="1" applyBorder="1" applyAlignment="1" applyProtection="1">
      <alignment horizontal="center" vertical="center" wrapText="1"/>
      <protection locked="0"/>
    </xf>
    <xf numFmtId="0" fontId="2" fillId="2" borderId="57" xfId="0" applyFont="1" applyFill="1" applyBorder="1" applyAlignment="1" applyProtection="1">
      <alignment horizontal="left" vertical="center" wrapText="1"/>
      <protection locked="0"/>
    </xf>
    <xf numFmtId="0" fontId="2" fillId="2" borderId="63" xfId="0" applyFont="1" applyFill="1" applyBorder="1" applyAlignment="1" applyProtection="1">
      <alignment horizontal="left" vertical="center" wrapText="1"/>
      <protection locked="0"/>
    </xf>
    <xf numFmtId="0" fontId="2" fillId="2" borderId="58" xfId="0" applyFont="1" applyFill="1" applyBorder="1" applyAlignment="1" applyProtection="1">
      <alignment horizontal="left" vertical="center" wrapText="1"/>
      <protection locked="0"/>
    </xf>
    <xf numFmtId="0" fontId="2" fillId="2" borderId="64" xfId="0" applyFont="1" applyFill="1" applyBorder="1" applyAlignment="1" applyProtection="1">
      <alignment horizontal="left" vertical="center" wrapText="1"/>
      <protection locked="0"/>
    </xf>
    <xf numFmtId="0" fontId="2" fillId="2" borderId="60" xfId="0" applyFont="1" applyFill="1" applyBorder="1" applyAlignment="1" applyProtection="1">
      <alignment horizontal="left" vertical="center" wrapText="1"/>
      <protection locked="0"/>
    </xf>
    <xf numFmtId="0" fontId="2" fillId="2" borderId="62" xfId="0" applyFont="1" applyFill="1" applyBorder="1" applyAlignment="1" applyProtection="1">
      <alignment horizontal="left" vertical="center" wrapText="1"/>
      <protection locked="0"/>
    </xf>
    <xf numFmtId="0" fontId="7" fillId="2" borderId="65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7" fillId="2" borderId="42" xfId="0" applyFont="1" applyFill="1" applyBorder="1" applyAlignment="1" applyProtection="1">
      <alignment horizontal="center" vertical="center" wrapText="1"/>
      <protection locked="0"/>
    </xf>
    <xf numFmtId="0" fontId="7" fillId="2" borderId="64" xfId="0" applyFont="1" applyFill="1" applyBorder="1" applyAlignment="1" applyProtection="1">
      <alignment horizontal="center" vertical="center" wrapText="1"/>
      <protection locked="0"/>
    </xf>
    <xf numFmtId="0" fontId="7" fillId="2" borderId="60" xfId="0" applyFont="1" applyFill="1" applyBorder="1" applyAlignment="1" applyProtection="1">
      <alignment horizontal="center" vertical="center" wrapText="1"/>
      <protection locked="0"/>
    </xf>
    <xf numFmtId="0" fontId="7" fillId="2" borderId="62" xfId="0" applyFont="1" applyFill="1" applyBorder="1" applyAlignment="1" applyProtection="1">
      <alignment horizontal="center" vertical="center" wrapText="1"/>
      <protection locked="0"/>
    </xf>
    <xf numFmtId="0" fontId="14" fillId="2" borderId="23" xfId="1" applyFill="1" applyBorder="1" applyAlignment="1" applyProtection="1">
      <alignment horizontal="center" vertical="center"/>
      <protection locked="0"/>
    </xf>
    <xf numFmtId="49" fontId="23" fillId="2" borderId="23" xfId="0" applyNumberFormat="1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 wrapText="1"/>
      <protection locked="0"/>
    </xf>
    <xf numFmtId="0" fontId="21" fillId="2" borderId="31" xfId="0" applyFont="1" applyFill="1" applyBorder="1" applyAlignment="1" applyProtection="1">
      <alignment horizontal="center" vertical="center" wrapText="1"/>
      <protection locked="0"/>
    </xf>
    <xf numFmtId="0" fontId="21" fillId="2" borderId="50" xfId="0" applyFont="1" applyFill="1" applyBorder="1" applyAlignment="1" applyProtection="1">
      <alignment horizontal="center" vertical="center" wrapText="1"/>
      <protection locked="0"/>
    </xf>
    <xf numFmtId="0" fontId="21" fillId="2" borderId="37" xfId="0" applyFont="1" applyFill="1" applyBorder="1" applyAlignment="1" applyProtection="1">
      <alignment horizontal="center" vertical="center" wrapText="1"/>
      <protection locked="0"/>
    </xf>
    <xf numFmtId="0" fontId="21" fillId="2" borderId="35" xfId="0" applyFont="1" applyFill="1" applyBorder="1" applyAlignment="1" applyProtection="1">
      <alignment horizontal="center" vertical="center" wrapText="1"/>
      <protection locked="0"/>
    </xf>
    <xf numFmtId="0" fontId="21" fillId="2" borderId="51" xfId="0" applyFont="1" applyFill="1" applyBorder="1" applyAlignment="1" applyProtection="1">
      <alignment horizontal="center" vertical="center" wrapText="1"/>
      <protection locked="0"/>
    </xf>
    <xf numFmtId="49" fontId="21" fillId="2" borderId="41" xfId="0" applyNumberFormat="1" applyFont="1" applyFill="1" applyBorder="1" applyAlignment="1" applyProtection="1">
      <alignment horizontal="center" vertical="center" wrapText="1"/>
      <protection locked="0"/>
    </xf>
    <xf numFmtId="49" fontId="21" fillId="2" borderId="39" xfId="0" applyNumberFormat="1" applyFont="1" applyFill="1" applyBorder="1" applyAlignment="1" applyProtection="1">
      <alignment horizontal="center" vertical="center" wrapText="1"/>
      <protection locked="0"/>
    </xf>
    <xf numFmtId="49" fontId="21" fillId="2" borderId="5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48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7" fillId="2" borderId="53" xfId="0" applyFont="1" applyFill="1" applyBorder="1" applyAlignment="1" applyProtection="1">
      <alignment horizontal="center" vertical="center"/>
      <protection locked="0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7" fillId="2" borderId="49" xfId="0" applyFont="1" applyFill="1" applyBorder="1" applyAlignment="1" applyProtection="1">
      <alignment horizontal="center" vertical="center"/>
      <protection locked="0"/>
    </xf>
    <xf numFmtId="0" fontId="7" fillId="2" borderId="46" xfId="0" applyFont="1" applyFill="1" applyBorder="1" applyAlignment="1" applyProtection="1">
      <alignment horizontal="center" vertical="center"/>
      <protection locked="0"/>
    </xf>
    <xf numFmtId="14" fontId="7" fillId="2" borderId="47" xfId="0" applyNumberFormat="1" applyFont="1" applyFill="1" applyBorder="1" applyAlignment="1" applyProtection="1">
      <alignment horizontal="center" vertical="center"/>
      <protection locked="0"/>
    </xf>
    <xf numFmtId="0" fontId="7" fillId="2" borderId="55" xfId="0" applyFont="1" applyFill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3" fillId="6" borderId="57" xfId="0" applyFont="1" applyFill="1" applyBorder="1" applyAlignment="1" applyProtection="1">
      <alignment horizontal="center" vertical="center"/>
      <protection locked="0"/>
    </xf>
    <xf numFmtId="0" fontId="3" fillId="6" borderId="63" xfId="0" applyFont="1" applyFill="1" applyBorder="1" applyAlignment="1" applyProtection="1">
      <alignment horizontal="center" vertical="center"/>
      <protection locked="0"/>
    </xf>
    <xf numFmtId="0" fontId="3" fillId="6" borderId="58" xfId="0" applyFont="1" applyFill="1" applyBorder="1" applyAlignment="1" applyProtection="1">
      <alignment horizontal="center" vertical="center"/>
      <protection locked="0"/>
    </xf>
    <xf numFmtId="0" fontId="3" fillId="6" borderId="64" xfId="0" applyFont="1" applyFill="1" applyBorder="1" applyAlignment="1" applyProtection="1">
      <alignment horizontal="center" vertical="center"/>
      <protection locked="0"/>
    </xf>
    <xf numFmtId="0" fontId="3" fillId="6" borderId="60" xfId="0" applyFont="1" applyFill="1" applyBorder="1" applyAlignment="1" applyProtection="1">
      <alignment horizontal="center" vertical="center"/>
      <protection locked="0"/>
    </xf>
    <xf numFmtId="0" fontId="3" fillId="6" borderId="62" xfId="0" applyFont="1" applyFill="1" applyBorder="1" applyAlignment="1" applyProtection="1">
      <alignment horizontal="center" vertical="center"/>
      <protection locked="0"/>
    </xf>
    <xf numFmtId="0" fontId="3" fillId="6" borderId="23" xfId="0" applyFont="1" applyFill="1" applyBorder="1" applyAlignment="1" applyProtection="1">
      <alignment horizontal="center" vertical="center"/>
      <protection locked="0"/>
    </xf>
    <xf numFmtId="167" fontId="24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25" xfId="0" applyFont="1" applyFill="1" applyBorder="1" applyAlignment="1" applyProtection="1">
      <alignment horizontal="center" vertical="center" wrapText="1"/>
      <protection locked="0"/>
    </xf>
    <xf numFmtId="164" fontId="21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23" xfId="0" applyFont="1" applyFill="1" applyBorder="1" applyAlignment="1" applyProtection="1">
      <alignment horizontal="center" vertical="center" wrapText="1"/>
      <protection locked="0"/>
    </xf>
    <xf numFmtId="0" fontId="3" fillId="6" borderId="66" xfId="0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 applyProtection="1">
      <alignment horizontal="center" vertical="center" wrapText="1"/>
      <protection locked="0"/>
    </xf>
    <xf numFmtId="0" fontId="3" fillId="6" borderId="4" xfId="0" applyFont="1" applyFill="1" applyBorder="1" applyAlignment="1" applyProtection="1">
      <alignment horizontal="center" vertical="center" wrapText="1"/>
      <protection locked="0"/>
    </xf>
    <xf numFmtId="0" fontId="3" fillId="6" borderId="67" xfId="0" applyFont="1" applyFill="1" applyBorder="1" applyAlignment="1" applyProtection="1">
      <alignment horizontal="center" vertical="center" wrapText="1"/>
      <protection locked="0"/>
    </xf>
    <xf numFmtId="0" fontId="3" fillId="6" borderId="9" xfId="0" applyFont="1" applyFill="1" applyBorder="1" applyAlignment="1" applyProtection="1">
      <alignment horizontal="center" vertical="center" wrapText="1"/>
      <protection locked="0"/>
    </xf>
    <xf numFmtId="0" fontId="3" fillId="6" borderId="10" xfId="0" applyFont="1" applyFill="1" applyBorder="1" applyAlignment="1" applyProtection="1">
      <alignment horizontal="center" vertical="center" wrapText="1"/>
      <protection locked="0"/>
    </xf>
    <xf numFmtId="0" fontId="3" fillId="6" borderId="41" xfId="0" applyFont="1" applyFill="1" applyBorder="1" applyAlignment="1" applyProtection="1">
      <alignment horizontal="center" vertical="center" wrapText="1"/>
      <protection locked="0"/>
    </xf>
    <xf numFmtId="0" fontId="3" fillId="6" borderId="40" xfId="0" applyFont="1" applyFill="1" applyBorder="1" applyAlignment="1" applyProtection="1">
      <alignment horizontal="center" vertical="center" wrapText="1"/>
      <protection locked="0"/>
    </xf>
    <xf numFmtId="0" fontId="24" fillId="2" borderId="33" xfId="0" applyFont="1" applyFill="1" applyBorder="1" applyAlignment="1" applyProtection="1">
      <alignment horizontal="center" vertical="center" wrapText="1"/>
      <protection locked="0"/>
    </xf>
    <xf numFmtId="0" fontId="24" fillId="2" borderId="31" xfId="0" applyFont="1" applyFill="1" applyBorder="1" applyAlignment="1" applyProtection="1">
      <alignment horizontal="center" vertical="center" wrapText="1"/>
      <protection locked="0"/>
    </xf>
    <xf numFmtId="0" fontId="24" fillId="2" borderId="50" xfId="0" applyFont="1" applyFill="1" applyBorder="1" applyAlignment="1" applyProtection="1">
      <alignment horizontal="center" vertical="center" wrapText="1"/>
      <protection locked="0"/>
    </xf>
    <xf numFmtId="49" fontId="24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24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3" borderId="12" xfId="0" applyFont="1" applyFill="1" applyBorder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left" vertical="center"/>
      <protection locked="0"/>
    </xf>
    <xf numFmtId="0" fontId="2" fillId="3" borderId="13" xfId="0" applyFont="1" applyFill="1" applyBorder="1" applyAlignment="1" applyProtection="1">
      <alignment horizontal="center" vertical="center"/>
      <protection locked="0"/>
    </xf>
    <xf numFmtId="0" fontId="2" fillId="3" borderId="14" xfId="0" applyFon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7" fillId="2" borderId="13" xfId="0" applyFont="1" applyFill="1" applyBorder="1" applyAlignment="1" applyProtection="1">
      <alignment horizontal="left"/>
      <protection locked="0"/>
    </xf>
    <xf numFmtId="0" fontId="7" fillId="2" borderId="14" xfId="0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alignment horizontal="left"/>
      <protection locked="0"/>
    </xf>
    <xf numFmtId="0" fontId="8" fillId="2" borderId="13" xfId="1" applyFont="1" applyFill="1" applyBorder="1" applyAlignment="1" applyProtection="1">
      <alignment horizontal="left"/>
      <protection locked="0"/>
    </xf>
    <xf numFmtId="0" fontId="7" fillId="2" borderId="12" xfId="0" applyFont="1" applyFill="1" applyBorder="1" applyAlignment="1" applyProtection="1">
      <alignment horizontal="left"/>
      <protection locked="0"/>
    </xf>
    <xf numFmtId="0" fontId="3" fillId="5" borderId="12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 applyProtection="1">
      <alignment horizont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10" fillId="5" borderId="16" xfId="0" applyFont="1" applyFill="1" applyBorder="1" applyAlignment="1" applyProtection="1">
      <alignment horizontal="center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8" xfId="0" applyFont="1" applyFill="1" applyBorder="1" applyAlignment="1" applyProtection="1">
      <alignment horizontal="left" vertical="center" wrapText="1"/>
      <protection locked="0"/>
    </xf>
    <xf numFmtId="0" fontId="7" fillId="2" borderId="19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/>
      <protection locked="0"/>
    </xf>
    <xf numFmtId="0" fontId="7" fillId="2" borderId="12" xfId="0" applyFont="1" applyFill="1" applyBorder="1" applyAlignment="1" applyProtection="1">
      <alignment horizontal="left" vertical="center" wrapText="1"/>
      <protection locked="0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5" borderId="16" xfId="0" applyFont="1" applyFill="1" applyBorder="1" applyAlignment="1" applyProtection="1">
      <alignment horizontal="center" vertical="center" wrapText="1"/>
      <protection locked="0"/>
    </xf>
    <xf numFmtId="0" fontId="3" fillId="5" borderId="20" xfId="0" applyFont="1" applyFill="1" applyBorder="1" applyAlignment="1" applyProtection="1">
      <alignment horizontal="center" vertical="center" wrapText="1"/>
      <protection locked="0"/>
    </xf>
    <xf numFmtId="0" fontId="3" fillId="5" borderId="21" xfId="0" applyFont="1" applyFill="1" applyBorder="1" applyAlignment="1" applyProtection="1">
      <alignment horizontal="center" vertical="center" wrapText="1"/>
      <protection locked="0"/>
    </xf>
    <xf numFmtId="0" fontId="3" fillId="5" borderId="22" xfId="0" applyFont="1" applyFill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3" fillId="5" borderId="13" xfId="0" applyFont="1" applyFill="1" applyBorder="1" applyAlignment="1" applyProtection="1">
      <alignment horizontal="center" vertical="center" wrapText="1"/>
      <protection locked="0"/>
    </xf>
    <xf numFmtId="0" fontId="3" fillId="5" borderId="14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10" fillId="5" borderId="1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5" borderId="8" xfId="0" applyFont="1" applyFill="1" applyBorder="1" applyAlignment="1" applyProtection="1">
      <alignment horizontal="center" vertical="center"/>
      <protection locked="0"/>
    </xf>
    <xf numFmtId="0" fontId="3" fillId="5" borderId="10" xfId="0" applyFont="1" applyFill="1" applyBorder="1" applyAlignment="1" applyProtection="1">
      <alignment horizontal="center" vertical="center"/>
      <protection locked="0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5" borderId="13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</cellXfs>
  <cellStyles count="2">
    <cellStyle name="Hipervínculo" xfId="1" builtinId="8"/>
    <cellStyle name="Normal" xfId="0" builtinId="0"/>
  </cellStyles>
  <dxfs count="15">
    <dxf>
      <alignment horizontal="center" vertic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theme="0"/>
      </font>
    </dxf>
    <dxf>
      <font>
        <color rgb="FFFFFF00"/>
      </font>
      <fill>
        <patternFill patternType="solid">
          <bgColor rgb="FFFFFF00"/>
        </patternFill>
      </fill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89227</xdr:colOff>
      <xdr:row>1</xdr:row>
      <xdr:rowOff>86591</xdr:rowOff>
    </xdr:from>
    <xdr:to>
      <xdr:col>1</xdr:col>
      <xdr:colOff>959760</xdr:colOff>
      <xdr:row>3</xdr:row>
      <xdr:rowOff>191573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" y="276860"/>
          <a:ext cx="87058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233795</xdr:colOff>
      <xdr:row>0</xdr:row>
      <xdr:rowOff>95248</xdr:rowOff>
    </xdr:from>
    <xdr:to>
      <xdr:col>1</xdr:col>
      <xdr:colOff>1385455</xdr:colOff>
      <xdr:row>5</xdr:row>
      <xdr:rowOff>92699</xdr:rowOff>
    </xdr:to>
    <xdr:pic>
      <xdr:nvPicPr>
        <xdr:cNvPr id="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27" y="95248"/>
          <a:ext cx="1151660" cy="949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perfiles" displayName="perfiles" ref="B11:B17" totalsRowShown="0">
  <autoFilter ref="B11:B17"/>
  <tableColumns count="1">
    <tableColumn id="1" name="Perfile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prevencion" displayName="prevencion" ref="C11:C13" totalsRowShown="0">
  <autoFilter ref="C11:C13"/>
  <tableColumns count="1">
    <tableColumn id="1" name="Prevención de riesgos laboral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asistencia" displayName="asistencia" ref="D11:D12" totalsRowShown="0">
  <autoFilter ref="D11:D12"/>
  <tableColumns count="1">
    <tableColumn id="1" name="Asistencia en seguridad industrial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formador" displayName="formador" ref="E11:F12" totalsRowShown="0">
  <autoFilter ref="E11:F12"/>
  <tableColumns count="2">
    <tableColumn id="1" name="Gestión ambiental"/>
    <tableColumn id="2" name="Facilitación en actividades de capacitació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rrnur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2"/>
  <sheetViews>
    <sheetView view="pageBreakPreview" zoomScale="115" zoomScaleNormal="110" workbookViewId="0">
      <selection activeCell="K99" sqref="K99:N99"/>
    </sheetView>
  </sheetViews>
  <sheetFormatPr baseColWidth="10" defaultColWidth="11.42578125" defaultRowHeight="11.25"/>
  <cols>
    <col min="1" max="1" width="11.42578125" style="3"/>
    <col min="2" max="2" width="15.7109375" style="3" customWidth="1"/>
    <col min="3" max="4" width="8.7109375" style="3" customWidth="1"/>
    <col min="5" max="5" width="2.28515625" style="3" customWidth="1"/>
    <col min="6" max="8" width="9.7109375" style="3" customWidth="1"/>
    <col min="9" max="14" width="10.7109375" style="3" customWidth="1"/>
    <col min="15" max="16" width="7.42578125" style="3" customWidth="1"/>
    <col min="17" max="17" width="5.28515625" style="3" customWidth="1"/>
    <col min="18" max="18" width="5.7109375" style="3" customWidth="1"/>
    <col min="19" max="19" width="7.7109375" style="3" customWidth="1"/>
    <col min="20" max="256" width="9.140625" style="3" customWidth="1"/>
    <col min="257" max="16384" width="11.42578125" style="3"/>
  </cols>
  <sheetData>
    <row r="1" spans="2:14" ht="15" customHeight="1">
      <c r="B1" s="192"/>
      <c r="C1" s="201" t="s">
        <v>0</v>
      </c>
      <c r="D1" s="201"/>
      <c r="E1" s="201"/>
      <c r="F1" s="201"/>
      <c r="G1" s="201"/>
      <c r="H1" s="201"/>
      <c r="I1" s="201"/>
      <c r="J1" s="90" t="s">
        <v>1</v>
      </c>
      <c r="K1" s="90"/>
      <c r="L1" s="90" t="s">
        <v>2</v>
      </c>
      <c r="M1" s="90"/>
      <c r="N1" s="90"/>
    </row>
    <row r="2" spans="2:14" ht="15" customHeight="1">
      <c r="B2" s="192"/>
      <c r="C2" s="201"/>
      <c r="D2" s="201"/>
      <c r="E2" s="201"/>
      <c r="F2" s="201"/>
      <c r="G2" s="201"/>
      <c r="H2" s="201"/>
      <c r="I2" s="201"/>
      <c r="J2" s="90" t="s">
        <v>3</v>
      </c>
      <c r="K2" s="90"/>
      <c r="L2" s="91">
        <v>45342</v>
      </c>
      <c r="M2" s="91"/>
      <c r="N2" s="91"/>
    </row>
    <row r="3" spans="2:14" ht="15" customHeight="1">
      <c r="B3" s="192"/>
      <c r="C3" s="201"/>
      <c r="D3" s="201"/>
      <c r="E3" s="201"/>
      <c r="F3" s="201"/>
      <c r="G3" s="201"/>
      <c r="H3" s="201"/>
      <c r="I3" s="201"/>
      <c r="J3" s="90" t="s">
        <v>4</v>
      </c>
      <c r="K3" s="90"/>
      <c r="L3" s="91">
        <v>45454</v>
      </c>
      <c r="M3" s="91"/>
      <c r="N3" s="91"/>
    </row>
    <row r="4" spans="2:14" ht="15" customHeight="1">
      <c r="B4" s="192"/>
      <c r="C4" s="201" t="s">
        <v>5</v>
      </c>
      <c r="D4" s="201"/>
      <c r="E4" s="201"/>
      <c r="F4" s="201"/>
      <c r="G4" s="201"/>
      <c r="H4" s="201"/>
      <c r="I4" s="201"/>
      <c r="J4" s="90" t="s">
        <v>6</v>
      </c>
      <c r="K4" s="90"/>
      <c r="L4" s="90" t="s">
        <v>7</v>
      </c>
      <c r="M4" s="90"/>
      <c r="N4" s="90"/>
    </row>
    <row r="5" spans="2:14" ht="15" customHeight="1">
      <c r="B5" s="192"/>
      <c r="C5" s="201"/>
      <c r="D5" s="201"/>
      <c r="E5" s="201"/>
      <c r="F5" s="201"/>
      <c r="G5" s="201"/>
      <c r="H5" s="201"/>
      <c r="I5" s="201"/>
      <c r="J5" s="90" t="s">
        <v>8</v>
      </c>
      <c r="K5" s="90"/>
      <c r="L5" s="90" t="s">
        <v>9</v>
      </c>
      <c r="M5" s="90"/>
      <c r="N5" s="90"/>
    </row>
    <row r="6" spans="2:14" ht="15" customHeight="1">
      <c r="B6" s="192"/>
      <c r="C6" s="201"/>
      <c r="D6" s="201"/>
      <c r="E6" s="201"/>
      <c r="F6" s="201"/>
      <c r="G6" s="201"/>
      <c r="H6" s="201"/>
      <c r="I6" s="201"/>
      <c r="J6" s="90" t="s">
        <v>10</v>
      </c>
      <c r="K6" s="90"/>
      <c r="L6" s="90" t="s">
        <v>11</v>
      </c>
      <c r="M6" s="90"/>
      <c r="N6" s="90"/>
    </row>
    <row r="7" spans="2:14" ht="9.9499999999999993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3"/>
    </row>
    <row r="8" spans="2:14" s="54" customFormat="1" ht="20.100000000000001" customHeight="1">
      <c r="B8" s="55" t="s">
        <v>12</v>
      </c>
      <c r="C8" s="92"/>
      <c r="D8" s="92"/>
      <c r="E8" s="92"/>
      <c r="F8" s="92"/>
      <c r="H8" s="93" t="s">
        <v>13</v>
      </c>
      <c r="I8" s="93"/>
      <c r="J8" s="92"/>
      <c r="K8" s="92"/>
      <c r="L8" s="92"/>
      <c r="M8" s="92"/>
      <c r="N8" s="92"/>
    </row>
    <row r="9" spans="2:14" ht="9.9499999999999993" customHeight="1">
      <c r="C9" s="7"/>
      <c r="D9" s="7"/>
      <c r="H9" s="2"/>
      <c r="K9" s="34"/>
      <c r="L9" s="34"/>
      <c r="M9" s="34"/>
      <c r="N9" s="33"/>
    </row>
    <row r="10" spans="2:14" ht="14.25" customHeight="1">
      <c r="B10" s="94" t="s">
        <v>14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</row>
    <row r="11" spans="2:14" ht="5.0999999999999996" customHeight="1"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</row>
    <row r="12" spans="2:14" ht="20.100000000000001" customHeight="1">
      <c r="B12" s="95" t="s">
        <v>15</v>
      </c>
      <c r="C12" s="95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</row>
    <row r="13" spans="2:14" ht="5.0999999999999996" customHeight="1"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2"/>
      <c r="M13" s="12"/>
      <c r="N13" s="12"/>
    </row>
    <row r="14" spans="2:14" ht="20.100000000000001" customHeight="1">
      <c r="B14" s="95" t="s">
        <v>16</v>
      </c>
      <c r="C14" s="95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</row>
    <row r="15" spans="2:14" ht="5.0999999999999996" customHeight="1">
      <c r="B15" s="10"/>
      <c r="C15" s="13"/>
      <c r="D15" s="13"/>
      <c r="E15" s="13"/>
      <c r="F15" s="14"/>
      <c r="G15" s="14"/>
      <c r="H15" s="14"/>
      <c r="I15" s="14"/>
      <c r="J15" s="14"/>
      <c r="K15" s="14"/>
      <c r="L15" s="14"/>
      <c r="M15" s="14"/>
      <c r="N15" s="14"/>
    </row>
    <row r="16" spans="2:14" ht="20.100000000000001" customHeight="1">
      <c r="B16" s="95" t="s">
        <v>17</v>
      </c>
      <c r="C16" s="95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</row>
    <row r="17" spans="2:17" ht="5.0999999999999996" customHeight="1">
      <c r="F17" s="14"/>
      <c r="G17" s="14"/>
      <c r="H17" s="14"/>
      <c r="I17" s="14"/>
      <c r="J17" s="14"/>
      <c r="K17" s="14"/>
      <c r="L17" s="14"/>
      <c r="M17" s="14"/>
      <c r="N17" s="14"/>
    </row>
    <row r="18" spans="2:17" ht="20.100000000000001" customHeight="1">
      <c r="B18" s="3" t="s">
        <v>18</v>
      </c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</row>
    <row r="19" spans="2:17" ht="9.9499999999999993" customHeight="1"/>
    <row r="20" spans="2:17" ht="14.25" customHeight="1">
      <c r="B20" s="94" t="s">
        <v>19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2:17" ht="5.0999999999999996" customHeight="1"/>
    <row r="22" spans="2:17" ht="20.100000000000001" customHeight="1">
      <c r="B22" s="15" t="s">
        <v>20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7" ht="5.0999999999999996" customHeight="1">
      <c r="B23" s="15"/>
      <c r="F23" s="14"/>
      <c r="G23" s="14"/>
      <c r="H23" s="14"/>
      <c r="I23" s="14"/>
      <c r="J23" s="14"/>
      <c r="K23" s="14"/>
      <c r="L23" s="14"/>
      <c r="M23" s="14"/>
      <c r="N23" s="14"/>
    </row>
    <row r="24" spans="2:17" ht="20.100000000000001" customHeight="1">
      <c r="B24" s="15" t="s">
        <v>21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7" ht="5.0999999999999996" customHeight="1">
      <c r="B25" s="15"/>
      <c r="F25" s="14"/>
      <c r="G25" s="14"/>
      <c r="H25" s="14"/>
      <c r="I25" s="14"/>
      <c r="J25" s="14"/>
      <c r="K25" s="14"/>
      <c r="L25" s="14"/>
      <c r="M25" s="14"/>
      <c r="N25" s="14"/>
    </row>
    <row r="26" spans="2:17" ht="20.100000000000001" customHeight="1">
      <c r="B26" s="15" t="s">
        <v>22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</row>
    <row r="27" spans="2:17" ht="5.0999999999999996" customHeight="1">
      <c r="B27" s="15"/>
      <c r="F27" s="14"/>
      <c r="G27" s="14"/>
      <c r="H27" s="14"/>
      <c r="I27" s="14"/>
      <c r="J27" s="14"/>
      <c r="K27" s="14"/>
      <c r="L27" s="14"/>
      <c r="M27" s="14"/>
      <c r="N27" s="14"/>
    </row>
    <row r="28" spans="2:17" ht="20.100000000000001" customHeight="1">
      <c r="B28" s="15" t="s">
        <v>23</v>
      </c>
      <c r="D28" s="99"/>
      <c r="E28" s="99"/>
      <c r="F28" s="99"/>
      <c r="G28" s="99"/>
      <c r="H28" s="99"/>
      <c r="I28" s="17" t="s">
        <v>24</v>
      </c>
      <c r="J28" s="100"/>
      <c r="K28" s="100"/>
      <c r="L28" s="100"/>
      <c r="M28" s="100"/>
      <c r="N28" s="100"/>
    </row>
    <row r="29" spans="2:17" ht="9.9499999999999993" customHeight="1"/>
    <row r="30" spans="2:17" ht="24" customHeight="1">
      <c r="B30" s="101" t="s">
        <v>25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4"/>
      <c r="P30" s="4"/>
      <c r="Q30" s="4"/>
    </row>
    <row r="31" spans="2:17" ht="5.0999999999999996" customHeight="1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2:17" ht="16.149999999999999" customHeight="1">
      <c r="B32" s="102" t="s">
        <v>26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</row>
    <row r="33" spans="2:19" ht="5.0999999999999996" customHeight="1"/>
    <row r="34" spans="2:19" ht="21" customHeight="1">
      <c r="B34" s="101" t="s">
        <v>27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4"/>
      <c r="P34" s="4"/>
      <c r="Q34" s="4"/>
    </row>
    <row r="35" spans="2:19" ht="6.75" customHeight="1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4"/>
      <c r="P35" s="4"/>
      <c r="Q35" s="4"/>
    </row>
    <row r="36" spans="2:19" ht="34.5" customHeight="1">
      <c r="B36" s="202" t="s">
        <v>28</v>
      </c>
      <c r="C36" s="203"/>
      <c r="D36" s="204"/>
      <c r="E36" s="199" t="s">
        <v>29</v>
      </c>
      <c r="F36" s="199"/>
      <c r="G36" s="199"/>
      <c r="H36" s="199"/>
      <c r="I36" s="199"/>
      <c r="J36" s="103" t="s">
        <v>30</v>
      </c>
      <c r="K36" s="103"/>
      <c r="L36" s="103"/>
      <c r="M36" s="103"/>
      <c r="N36" s="104"/>
      <c r="O36" s="35"/>
      <c r="P36" s="35"/>
      <c r="Q36" s="35"/>
      <c r="R36" s="38"/>
      <c r="S36" s="38"/>
    </row>
    <row r="37" spans="2:19" ht="15" customHeight="1">
      <c r="B37" s="205"/>
      <c r="C37" s="206"/>
      <c r="D37" s="207"/>
      <c r="E37" s="200"/>
      <c r="F37" s="200"/>
      <c r="G37" s="200"/>
      <c r="H37" s="200"/>
      <c r="I37" s="200"/>
      <c r="J37" s="57" t="s">
        <v>31</v>
      </c>
      <c r="K37" s="57" t="s">
        <v>32</v>
      </c>
      <c r="L37" s="57" t="s">
        <v>33</v>
      </c>
      <c r="M37" s="57" t="s">
        <v>34</v>
      </c>
      <c r="N37" s="61" t="s">
        <v>35</v>
      </c>
      <c r="O37" s="36"/>
      <c r="P37" s="36"/>
      <c r="Q37" s="36"/>
    </row>
    <row r="38" spans="2:19" ht="20.100000000000001" customHeight="1">
      <c r="B38" s="105"/>
      <c r="C38" s="106"/>
      <c r="D38" s="107"/>
      <c r="E38" s="108"/>
      <c r="F38" s="108"/>
      <c r="G38" s="108"/>
      <c r="H38" s="108"/>
      <c r="I38" s="108"/>
      <c r="J38" s="68"/>
      <c r="K38" s="68"/>
      <c r="L38" s="68"/>
      <c r="M38" s="68"/>
      <c r="N38" s="69"/>
    </row>
    <row r="39" spans="2:19" ht="20.100000000000001" customHeight="1">
      <c r="B39" s="109"/>
      <c r="C39" s="110"/>
      <c r="D39" s="111"/>
      <c r="E39" s="112"/>
      <c r="F39" s="112"/>
      <c r="G39" s="112"/>
      <c r="H39" s="112"/>
      <c r="I39" s="112"/>
      <c r="J39" s="70"/>
      <c r="K39" s="70"/>
      <c r="L39" s="70"/>
      <c r="M39" s="70"/>
      <c r="N39" s="71"/>
    </row>
    <row r="40" spans="2:19" ht="5.0999999999999996" customHeight="1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2:19" ht="22.5" customHeight="1">
      <c r="B41" s="101" t="s">
        <v>36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</row>
    <row r="42" spans="2:19" ht="24.95" customHeight="1">
      <c r="B42" s="113" t="s">
        <v>37</v>
      </c>
      <c r="C42" s="114"/>
      <c r="D42" s="115"/>
      <c r="E42" s="116"/>
      <c r="F42" s="117"/>
      <c r="G42" s="117"/>
      <c r="H42" s="117"/>
      <c r="I42" s="117"/>
      <c r="J42" s="117"/>
      <c r="K42" s="117"/>
      <c r="L42" s="117"/>
      <c r="M42" s="117"/>
      <c r="N42" s="118"/>
    </row>
    <row r="43" spans="2:19" ht="20.100000000000001" customHeight="1">
      <c r="B43" s="119" t="s">
        <v>22</v>
      </c>
      <c r="C43" s="120"/>
      <c r="D43" s="121"/>
      <c r="E43" s="122"/>
      <c r="F43" s="123"/>
      <c r="G43" s="123"/>
      <c r="H43" s="123"/>
      <c r="I43" s="123"/>
      <c r="J43" s="123"/>
      <c r="K43" s="123"/>
      <c r="L43" s="123"/>
      <c r="M43" s="123"/>
      <c r="N43" s="124"/>
    </row>
    <row r="44" spans="2:19" ht="20.100000000000001" customHeight="1">
      <c r="B44" s="119" t="s">
        <v>38</v>
      </c>
      <c r="C44" s="120"/>
      <c r="D44" s="121"/>
      <c r="E44" s="122"/>
      <c r="F44" s="123"/>
      <c r="G44" s="123"/>
      <c r="H44" s="123"/>
      <c r="I44" s="123"/>
      <c r="J44" s="123"/>
      <c r="K44" s="123"/>
      <c r="L44" s="123"/>
      <c r="M44" s="123"/>
      <c r="N44" s="124"/>
    </row>
    <row r="45" spans="2:19" ht="20.100000000000001" customHeight="1">
      <c r="B45" s="125" t="s">
        <v>23</v>
      </c>
      <c r="C45" s="126"/>
      <c r="D45" s="127"/>
      <c r="E45" s="128"/>
      <c r="F45" s="129"/>
      <c r="G45" s="129"/>
      <c r="H45" s="129"/>
      <c r="I45" s="129"/>
      <c r="J45" s="129"/>
      <c r="K45" s="129"/>
      <c r="L45" s="129"/>
      <c r="M45" s="129"/>
      <c r="N45" s="130"/>
    </row>
    <row r="46" spans="2:19" ht="9.9499999999999993" customHeight="1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2:19" ht="22.5" customHeight="1">
      <c r="B47" s="101" t="s">
        <v>39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8"/>
      <c r="P47" s="18"/>
      <c r="Q47" s="18"/>
    </row>
    <row r="48" spans="2:19" ht="5.0999999999999996" customHeight="1"/>
    <row r="49" spans="2:14" ht="16.149999999999999" customHeight="1">
      <c r="B49" s="131" t="s">
        <v>40</v>
      </c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</row>
    <row r="50" spans="2:14" ht="5.0999999999999996" customHeight="1">
      <c r="C50" s="23"/>
      <c r="D50" s="23"/>
      <c r="E50" s="23"/>
      <c r="F50" s="23"/>
      <c r="G50" s="23"/>
      <c r="H50" s="23"/>
    </row>
    <row r="51" spans="2:14" ht="18.75" customHeight="1">
      <c r="B51" s="195" t="s">
        <v>41</v>
      </c>
      <c r="C51" s="196"/>
      <c r="D51" s="132" t="s">
        <v>42</v>
      </c>
      <c r="E51" s="133"/>
      <c r="F51" s="133"/>
      <c r="G51" s="133"/>
      <c r="H51" s="133"/>
      <c r="I51" s="133"/>
      <c r="J51" s="133"/>
      <c r="K51" s="133"/>
      <c r="L51" s="133"/>
      <c r="M51" s="133"/>
      <c r="N51" s="134"/>
    </row>
    <row r="52" spans="2:14" ht="20.25" customHeight="1">
      <c r="B52" s="197"/>
      <c r="C52" s="198"/>
      <c r="D52" s="135" t="s">
        <v>43</v>
      </c>
      <c r="E52" s="136"/>
      <c r="F52" s="136"/>
      <c r="G52" s="136"/>
      <c r="H52" s="137"/>
      <c r="I52" s="62" t="s">
        <v>44</v>
      </c>
      <c r="J52" s="62" t="s">
        <v>45</v>
      </c>
      <c r="K52" s="138" t="s">
        <v>46</v>
      </c>
      <c r="L52" s="138"/>
      <c r="M52" s="138"/>
      <c r="N52" s="139"/>
    </row>
    <row r="53" spans="2:14" ht="24.95" customHeight="1">
      <c r="B53" s="140" t="s">
        <v>47</v>
      </c>
      <c r="C53" s="141"/>
      <c r="D53" s="142"/>
      <c r="E53" s="142"/>
      <c r="F53" s="142"/>
      <c r="G53" s="142"/>
      <c r="H53" s="142"/>
      <c r="I53" s="66"/>
      <c r="J53" s="66"/>
      <c r="K53" s="142"/>
      <c r="L53" s="142"/>
      <c r="M53" s="142"/>
      <c r="N53" s="143"/>
    </row>
    <row r="54" spans="2:14" s="2" customFormat="1" ht="24.95" customHeight="1">
      <c r="B54" s="144" t="s">
        <v>48</v>
      </c>
      <c r="C54" s="145"/>
      <c r="D54" s="146"/>
      <c r="E54" s="146"/>
      <c r="F54" s="146"/>
      <c r="G54" s="146"/>
      <c r="H54" s="146"/>
      <c r="I54" s="67"/>
      <c r="J54" s="67"/>
      <c r="K54" s="100"/>
      <c r="L54" s="100"/>
      <c r="M54" s="100"/>
      <c r="N54" s="147"/>
    </row>
    <row r="55" spans="2:14" s="2" customFormat="1" ht="24.95" customHeight="1">
      <c r="B55" s="148" t="s">
        <v>49</v>
      </c>
      <c r="C55" s="149"/>
      <c r="D55" s="146"/>
      <c r="E55" s="146"/>
      <c r="F55" s="146"/>
      <c r="G55" s="146"/>
      <c r="H55" s="146"/>
      <c r="I55" s="67"/>
      <c r="J55" s="67"/>
      <c r="K55" s="100"/>
      <c r="L55" s="100"/>
      <c r="M55" s="100"/>
      <c r="N55" s="147"/>
    </row>
    <row r="56" spans="2:14" s="2" customFormat="1" ht="24.95" customHeight="1">
      <c r="B56" s="148" t="s">
        <v>50</v>
      </c>
      <c r="C56" s="149"/>
      <c r="D56" s="146"/>
      <c r="E56" s="146"/>
      <c r="F56" s="146"/>
      <c r="G56" s="146"/>
      <c r="H56" s="146"/>
      <c r="I56" s="67"/>
      <c r="J56" s="67"/>
      <c r="K56" s="100"/>
      <c r="L56" s="100"/>
      <c r="M56" s="100"/>
      <c r="N56" s="147"/>
    </row>
    <row r="57" spans="2:14" s="2" customFormat="1" ht="24.95" customHeight="1">
      <c r="B57" s="148" t="s">
        <v>51</v>
      </c>
      <c r="C57" s="149"/>
      <c r="D57" s="146"/>
      <c r="E57" s="146"/>
      <c r="F57" s="146"/>
      <c r="G57" s="146"/>
      <c r="H57" s="146"/>
      <c r="I57" s="67"/>
      <c r="J57" s="67"/>
      <c r="K57" s="100"/>
      <c r="L57" s="100"/>
      <c r="M57" s="100"/>
      <c r="N57" s="147"/>
    </row>
    <row r="58" spans="2:14" s="2" customFormat="1" ht="24.95" customHeight="1">
      <c r="B58" s="150" t="s">
        <v>52</v>
      </c>
      <c r="C58" s="151"/>
      <c r="D58" s="152"/>
      <c r="E58" s="152"/>
      <c r="F58" s="152"/>
      <c r="G58" s="152"/>
      <c r="H58" s="152"/>
      <c r="I58" s="72"/>
      <c r="J58" s="72"/>
      <c r="K58" s="153"/>
      <c r="L58" s="153"/>
      <c r="M58" s="153"/>
      <c r="N58" s="154"/>
    </row>
    <row r="59" spans="2:14" ht="5.0999999999999996" customHeight="1">
      <c r="C59" s="23"/>
      <c r="D59" s="23"/>
      <c r="E59" s="23"/>
      <c r="F59" s="23"/>
      <c r="G59" s="23"/>
      <c r="H59" s="23"/>
    </row>
    <row r="60" spans="2:14" ht="18.600000000000001" customHeight="1">
      <c r="B60" s="131" t="s">
        <v>53</v>
      </c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</row>
    <row r="61" spans="2:14" ht="5.0999999999999996" customHeight="1"/>
    <row r="62" spans="2:14" ht="28.5" customHeight="1">
      <c r="B62" s="155" t="s">
        <v>54</v>
      </c>
      <c r="C62" s="156"/>
      <c r="D62" s="156"/>
      <c r="E62" s="156"/>
      <c r="F62" s="156"/>
      <c r="G62" s="157" t="s">
        <v>55</v>
      </c>
      <c r="H62" s="157"/>
      <c r="I62" s="157"/>
      <c r="J62" s="157" t="s">
        <v>56</v>
      </c>
      <c r="K62" s="157"/>
      <c r="L62" s="157" t="s">
        <v>57</v>
      </c>
      <c r="M62" s="157"/>
      <c r="N62" s="158"/>
    </row>
    <row r="63" spans="2:14" ht="20.100000000000001" customHeight="1">
      <c r="B63" s="159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1"/>
    </row>
    <row r="64" spans="2:14" ht="20.100000000000001" customHeight="1">
      <c r="B64" s="162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4"/>
    </row>
    <row r="65" spans="2:17" ht="20.100000000000001" customHeight="1">
      <c r="B65" s="162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4"/>
    </row>
    <row r="66" spans="2:17" ht="20.100000000000001" customHeight="1">
      <c r="B66" s="162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4"/>
    </row>
    <row r="67" spans="2:17" ht="20.100000000000001" customHeight="1">
      <c r="B67" s="165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7"/>
    </row>
    <row r="68" spans="2:17" ht="5.0999999999999996" customHeight="1"/>
    <row r="69" spans="2:17" ht="19.5" customHeight="1">
      <c r="B69" s="168" t="s">
        <v>58</v>
      </c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</row>
    <row r="70" spans="2:17" ht="5.0999999999999996" customHeight="1"/>
    <row r="71" spans="2:17" ht="26.25" customHeight="1">
      <c r="B71" s="169" t="s">
        <v>59</v>
      </c>
      <c r="C71" s="133"/>
      <c r="D71" s="170"/>
      <c r="E71" s="103" t="s">
        <v>60</v>
      </c>
      <c r="F71" s="103"/>
      <c r="G71" s="103"/>
      <c r="H71" s="103"/>
      <c r="I71" s="103"/>
      <c r="J71" s="103"/>
      <c r="K71" s="103" t="s">
        <v>61</v>
      </c>
      <c r="L71" s="103"/>
      <c r="M71" s="103"/>
      <c r="N71" s="104"/>
      <c r="O71" s="4"/>
      <c r="P71" s="4"/>
      <c r="Q71" s="4"/>
    </row>
    <row r="72" spans="2:17" ht="15" customHeight="1">
      <c r="B72" s="64" t="s">
        <v>62</v>
      </c>
      <c r="C72" s="171" t="s">
        <v>63</v>
      </c>
      <c r="D72" s="172"/>
      <c r="E72" s="173" t="s">
        <v>64</v>
      </c>
      <c r="F72" s="173"/>
      <c r="G72" s="173"/>
      <c r="H72" s="173" t="s">
        <v>65</v>
      </c>
      <c r="I72" s="173"/>
      <c r="J72" s="65" t="s">
        <v>66</v>
      </c>
      <c r="K72" s="173"/>
      <c r="L72" s="173"/>
      <c r="M72" s="173"/>
      <c r="N72" s="193"/>
      <c r="O72" s="4"/>
      <c r="P72" s="4"/>
      <c r="Q72" s="4"/>
    </row>
    <row r="73" spans="2:17" ht="39.75" customHeight="1">
      <c r="B73" s="73"/>
      <c r="C73" s="182"/>
      <c r="D73" s="182"/>
      <c r="E73" s="182"/>
      <c r="F73" s="182"/>
      <c r="G73" s="182"/>
      <c r="H73" s="182"/>
      <c r="I73" s="182"/>
      <c r="J73" s="77"/>
      <c r="K73" s="183"/>
      <c r="L73" s="183"/>
      <c r="M73" s="183"/>
      <c r="N73" s="184"/>
      <c r="O73" s="47"/>
      <c r="P73" s="47"/>
      <c r="Q73" s="47"/>
    </row>
    <row r="74" spans="2:17" ht="39.75" customHeight="1">
      <c r="B74" s="74"/>
      <c r="C74" s="185"/>
      <c r="D74" s="185"/>
      <c r="E74" s="185"/>
      <c r="F74" s="185"/>
      <c r="G74" s="185"/>
      <c r="H74" s="185"/>
      <c r="I74" s="185"/>
      <c r="J74" s="78"/>
      <c r="K74" s="186"/>
      <c r="L74" s="186"/>
      <c r="M74" s="186"/>
      <c r="N74" s="187"/>
      <c r="O74" s="47"/>
      <c r="P74" s="47"/>
      <c r="Q74" s="47"/>
    </row>
    <row r="75" spans="2:17" ht="39.75" customHeight="1">
      <c r="B75" s="75"/>
      <c r="C75" s="188"/>
      <c r="D75" s="188"/>
      <c r="E75" s="188"/>
      <c r="F75" s="188"/>
      <c r="G75" s="188"/>
      <c r="H75" s="188"/>
      <c r="I75" s="188"/>
      <c r="J75" s="79"/>
      <c r="K75" s="189"/>
      <c r="L75" s="189"/>
      <c r="M75" s="189"/>
      <c r="N75" s="190"/>
      <c r="O75" s="47"/>
      <c r="P75" s="47"/>
      <c r="Q75" s="47"/>
    </row>
    <row r="76" spans="2:17" ht="15" customHeight="1"/>
    <row r="77" spans="2:17" ht="22.5" customHeight="1">
      <c r="B77" s="210" t="s">
        <v>67</v>
      </c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41"/>
      <c r="P77" s="41"/>
      <c r="Q77" s="41"/>
    </row>
    <row r="78" spans="2:17" ht="5.0999999999999996" customHeight="1">
      <c r="B78" s="41"/>
      <c r="C78" s="41"/>
      <c r="D78" s="41"/>
      <c r="E78" s="41"/>
      <c r="F78" s="41"/>
      <c r="G78" s="41"/>
      <c r="H78" s="41"/>
      <c r="I78" s="41"/>
      <c r="J78" s="48"/>
    </row>
    <row r="79" spans="2:17" ht="12" customHeight="1">
      <c r="B79" s="211" t="s">
        <v>68</v>
      </c>
      <c r="C79" s="211"/>
      <c r="D79" s="211"/>
      <c r="E79" s="211"/>
      <c r="F79" s="211"/>
      <c r="G79" s="211"/>
      <c r="H79" s="211"/>
      <c r="I79" s="211"/>
      <c r="J79" s="211"/>
    </row>
    <row r="80" spans="2:17" ht="12" customHeight="1">
      <c r="B80" s="42" t="s">
        <v>69</v>
      </c>
      <c r="C80" s="42"/>
      <c r="D80" s="42"/>
      <c r="E80" s="42"/>
      <c r="F80" s="42"/>
      <c r="G80" s="42"/>
      <c r="H80" s="42"/>
      <c r="I80" s="42"/>
      <c r="J80" s="42"/>
    </row>
    <row r="81" spans="2:17" ht="12" customHeight="1">
      <c r="B81" s="174" t="s">
        <v>70</v>
      </c>
      <c r="C81" s="174"/>
      <c r="D81" s="174"/>
      <c r="E81" s="174"/>
      <c r="F81" s="174"/>
      <c r="G81" s="174"/>
      <c r="H81" s="174"/>
      <c r="I81" s="174"/>
      <c r="J81" s="174"/>
    </row>
    <row r="82" spans="2:17" ht="12" customHeight="1">
      <c r="B82" s="174" t="s">
        <v>71</v>
      </c>
      <c r="C82" s="174"/>
      <c r="D82" s="174"/>
      <c r="E82" s="174"/>
      <c r="F82" s="174"/>
      <c r="G82" s="174"/>
      <c r="H82" s="174"/>
      <c r="I82" s="174"/>
      <c r="J82" s="174"/>
      <c r="K82" s="43"/>
    </row>
    <row r="83" spans="2:17" ht="12" customHeight="1">
      <c r="B83" s="175" t="s">
        <v>72</v>
      </c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</row>
    <row r="84" spans="2:17" ht="15" customHeight="1">
      <c r="B84" s="101" t="s">
        <v>73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8"/>
      <c r="P84" s="18"/>
      <c r="Q84" s="18"/>
    </row>
    <row r="85" spans="2:17" ht="20.25" customHeight="1"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8"/>
      <c r="P85" s="18"/>
      <c r="Q85" s="18"/>
    </row>
    <row r="86" spans="2:17" ht="15" customHeight="1">
      <c r="B86" s="194" t="s">
        <v>74</v>
      </c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"/>
      <c r="P86" s="19"/>
      <c r="Q86" s="19"/>
    </row>
    <row r="87" spans="2:17"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"/>
      <c r="P87" s="19"/>
      <c r="Q87" s="19"/>
    </row>
    <row r="88" spans="2:17" ht="22.5" customHeight="1"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"/>
      <c r="P88" s="19"/>
      <c r="Q88" s="19"/>
    </row>
    <row r="89" spans="2:17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2:17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2:17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2:17">
      <c r="F92" s="176"/>
      <c r="G92" s="176"/>
      <c r="H92" s="176"/>
      <c r="I92" s="176"/>
      <c r="J92" s="176"/>
      <c r="K92" s="19"/>
      <c r="L92" s="19"/>
      <c r="M92" s="19"/>
      <c r="N92" s="19"/>
    </row>
    <row r="93" spans="2:17" ht="15" customHeight="1">
      <c r="F93" s="177" t="s">
        <v>75</v>
      </c>
      <c r="G93" s="177"/>
      <c r="H93" s="177"/>
      <c r="I93" s="177"/>
      <c r="J93" s="177"/>
      <c r="K93" s="19"/>
      <c r="L93" s="19"/>
      <c r="M93" s="19"/>
      <c r="N93" s="19"/>
    </row>
    <row r="94" spans="2:17" ht="10.5" customHeight="1">
      <c r="B94" s="19"/>
      <c r="C94" s="178">
        <f>+F12</f>
        <v>0</v>
      </c>
      <c r="D94" s="178"/>
      <c r="E94" s="178"/>
      <c r="F94" s="178"/>
      <c r="G94" s="178"/>
      <c r="H94" s="178"/>
      <c r="I94" s="178"/>
      <c r="J94" s="178"/>
      <c r="K94" s="178"/>
      <c r="L94" s="178"/>
      <c r="M94" s="19"/>
      <c r="N94" s="19"/>
    </row>
    <row r="95" spans="2:17" ht="5.0999999999999996" customHeight="1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2:17" ht="42" customHeight="1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1"/>
    </row>
    <row r="97" spans="2:14" ht="18.75" customHeight="1">
      <c r="B97" s="179" t="s">
        <v>76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1"/>
    </row>
    <row r="98" spans="2:14" ht="22.5" customHeight="1">
      <c r="B98" s="76"/>
      <c r="C98" s="208" t="s">
        <v>77</v>
      </c>
      <c r="D98" s="208"/>
      <c r="E98" s="208"/>
      <c r="F98" s="208"/>
      <c r="G98" s="208" t="s">
        <v>78</v>
      </c>
      <c r="H98" s="208"/>
      <c r="I98" s="208"/>
      <c r="J98" s="208"/>
      <c r="K98" s="208" t="s">
        <v>79</v>
      </c>
      <c r="L98" s="208"/>
      <c r="M98" s="208"/>
      <c r="N98" s="208"/>
    </row>
    <row r="99" spans="2:14" ht="28.5" customHeight="1">
      <c r="B99" s="76" t="s">
        <v>64</v>
      </c>
      <c r="C99" s="191" t="s">
        <v>80</v>
      </c>
      <c r="D99" s="191"/>
      <c r="E99" s="191"/>
      <c r="F99" s="191"/>
      <c r="G99" s="191" t="s">
        <v>81</v>
      </c>
      <c r="H99" s="191"/>
      <c r="I99" s="191"/>
      <c r="J99" s="191"/>
      <c r="K99" s="191" t="s">
        <v>82</v>
      </c>
      <c r="L99" s="191"/>
      <c r="M99" s="191"/>
      <c r="N99" s="191"/>
    </row>
    <row r="100" spans="2:14" ht="28.5" customHeight="1">
      <c r="B100" s="76" t="s">
        <v>83</v>
      </c>
      <c r="C100" s="209" t="s">
        <v>84</v>
      </c>
      <c r="D100" s="209"/>
      <c r="E100" s="209"/>
      <c r="F100" s="209"/>
      <c r="G100" s="209" t="s">
        <v>85</v>
      </c>
      <c r="H100" s="209"/>
      <c r="I100" s="209"/>
      <c r="J100" s="209"/>
      <c r="K100" s="209" t="s">
        <v>86</v>
      </c>
      <c r="L100" s="209"/>
      <c r="M100" s="209"/>
      <c r="N100" s="209"/>
    </row>
    <row r="101" spans="2:14" ht="50.25" customHeight="1">
      <c r="B101" s="76" t="s">
        <v>87</v>
      </c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</row>
    <row r="102" spans="2:14" ht="13.5" customHeight="1"/>
  </sheetData>
  <mergeCells count="142">
    <mergeCell ref="C101:F101"/>
    <mergeCell ref="G101:J101"/>
    <mergeCell ref="K101:N101"/>
    <mergeCell ref="B1:B6"/>
    <mergeCell ref="K71:N72"/>
    <mergeCell ref="B86:N88"/>
    <mergeCell ref="B84:N85"/>
    <mergeCell ref="B51:C52"/>
    <mergeCell ref="E36:I37"/>
    <mergeCell ref="C1:I3"/>
    <mergeCell ref="C4:I6"/>
    <mergeCell ref="B36:D37"/>
    <mergeCell ref="C98:F98"/>
    <mergeCell ref="G98:J98"/>
    <mergeCell ref="K98:N98"/>
    <mergeCell ref="C99:F99"/>
    <mergeCell ref="G99:J99"/>
    <mergeCell ref="K99:N99"/>
    <mergeCell ref="C100:F100"/>
    <mergeCell ref="G100:J100"/>
    <mergeCell ref="K100:N100"/>
    <mergeCell ref="B77:N77"/>
    <mergeCell ref="B79:J79"/>
    <mergeCell ref="B81:J81"/>
    <mergeCell ref="B82:J82"/>
    <mergeCell ref="B83:N83"/>
    <mergeCell ref="F92:J92"/>
    <mergeCell ref="F93:J93"/>
    <mergeCell ref="C94:L94"/>
    <mergeCell ref="B97:N97"/>
    <mergeCell ref="C73:D73"/>
    <mergeCell ref="E73:G73"/>
    <mergeCell ref="H73:I73"/>
    <mergeCell ref="K73:N73"/>
    <mergeCell ref="C74:D74"/>
    <mergeCell ref="E74:G74"/>
    <mergeCell ref="H74:I74"/>
    <mergeCell ref="K74:N74"/>
    <mergeCell ref="C75:D75"/>
    <mergeCell ref="E75:G75"/>
    <mergeCell ref="H75:I75"/>
    <mergeCell ref="K75:N75"/>
    <mergeCell ref="B67:F67"/>
    <mergeCell ref="G67:I67"/>
    <mergeCell ref="J67:K67"/>
    <mergeCell ref="L67:N67"/>
    <mergeCell ref="B69:N69"/>
    <mergeCell ref="B71:D71"/>
    <mergeCell ref="E71:J71"/>
    <mergeCell ref="C72:D72"/>
    <mergeCell ref="E72:G72"/>
    <mergeCell ref="H72:I72"/>
    <mergeCell ref="B64:F64"/>
    <mergeCell ref="G64:I64"/>
    <mergeCell ref="J64:K64"/>
    <mergeCell ref="L64:N64"/>
    <mergeCell ref="B65:F65"/>
    <mergeCell ref="G65:I65"/>
    <mergeCell ref="J65:K65"/>
    <mergeCell ref="L65:N65"/>
    <mergeCell ref="B66:F66"/>
    <mergeCell ref="G66:I66"/>
    <mergeCell ref="J66:K66"/>
    <mergeCell ref="L66:N66"/>
    <mergeCell ref="B58:C58"/>
    <mergeCell ref="D58:H58"/>
    <mergeCell ref="K58:N58"/>
    <mergeCell ref="B60:N60"/>
    <mergeCell ref="B62:F62"/>
    <mergeCell ref="G62:I62"/>
    <mergeCell ref="J62:K62"/>
    <mergeCell ref="L62:N62"/>
    <mergeCell ref="B63:F63"/>
    <mergeCell ref="G63:I63"/>
    <mergeCell ref="J63:K63"/>
    <mergeCell ref="L63:N63"/>
    <mergeCell ref="B55:C55"/>
    <mergeCell ref="D55:H55"/>
    <mergeCell ref="K55:N55"/>
    <mergeCell ref="B56:C56"/>
    <mergeCell ref="D56:H56"/>
    <mergeCell ref="K56:N56"/>
    <mergeCell ref="B57:C57"/>
    <mergeCell ref="D57:H57"/>
    <mergeCell ref="K57:N57"/>
    <mergeCell ref="B49:N49"/>
    <mergeCell ref="D51:N51"/>
    <mergeCell ref="D52:H52"/>
    <mergeCell ref="K52:N52"/>
    <mergeCell ref="B53:C53"/>
    <mergeCell ref="D53:H53"/>
    <mergeCell ref="K53:N53"/>
    <mergeCell ref="B54:C54"/>
    <mergeCell ref="D54:H54"/>
    <mergeCell ref="K54:N54"/>
    <mergeCell ref="B42:D42"/>
    <mergeCell ref="E42:N42"/>
    <mergeCell ref="B43:D43"/>
    <mergeCell ref="E43:N43"/>
    <mergeCell ref="B44:D44"/>
    <mergeCell ref="E44:N44"/>
    <mergeCell ref="B45:D45"/>
    <mergeCell ref="E45:N45"/>
    <mergeCell ref="B47:N47"/>
    <mergeCell ref="B30:N30"/>
    <mergeCell ref="B32:N32"/>
    <mergeCell ref="B34:N34"/>
    <mergeCell ref="J36:N36"/>
    <mergeCell ref="B38:D38"/>
    <mergeCell ref="E38:I38"/>
    <mergeCell ref="B39:D39"/>
    <mergeCell ref="E39:I39"/>
    <mergeCell ref="B41:N41"/>
    <mergeCell ref="B16:C16"/>
    <mergeCell ref="D16:N16"/>
    <mergeCell ref="D18:N18"/>
    <mergeCell ref="B20:N20"/>
    <mergeCell ref="D22:N22"/>
    <mergeCell ref="D24:N24"/>
    <mergeCell ref="D26:N26"/>
    <mergeCell ref="D28:H28"/>
    <mergeCell ref="J28:N28"/>
    <mergeCell ref="J6:K6"/>
    <mergeCell ref="L6:N6"/>
    <mergeCell ref="C8:F8"/>
    <mergeCell ref="H8:I8"/>
    <mergeCell ref="J8:N8"/>
    <mergeCell ref="B10:N10"/>
    <mergeCell ref="B12:C12"/>
    <mergeCell ref="D12:N12"/>
    <mergeCell ref="B14:C14"/>
    <mergeCell ref="D14:N14"/>
    <mergeCell ref="J1:K1"/>
    <mergeCell ref="L1:N1"/>
    <mergeCell ref="J2:K2"/>
    <mergeCell ref="L2:N2"/>
    <mergeCell ref="J3:K3"/>
    <mergeCell ref="L3:N3"/>
    <mergeCell ref="J4:K4"/>
    <mergeCell ref="L4:N4"/>
    <mergeCell ref="J5:K5"/>
    <mergeCell ref="L5:N5"/>
  </mergeCells>
  <printOptions horizontalCentered="1"/>
  <pageMargins left="0.23622047244094499" right="0.23622047244094499" top="0.74803149606299202" bottom="0.74803149606299202" header="0.31496062992126" footer="0.31496062992126"/>
  <pageSetup paperSize="9" scale="70" orientation="portrait" r:id="rId1"/>
  <headerFooter>
    <oddFooter>&amp;CSistema de Gestión de Certificación de Personas&amp;R&amp;P</oddFooter>
  </headerFooter>
  <rowBreaks count="1" manualBreakCount="1">
    <brk id="68" max="13" man="1"/>
  </rowBreaks>
  <colBreaks count="1" manualBreakCount="1">
    <brk id="14" max="10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94"/>
  <sheetViews>
    <sheetView tabSelected="1" view="pageBreakPreview" topLeftCell="B1" zoomScale="110" zoomScaleNormal="110" workbookViewId="0">
      <selection activeCell="B20" sqref="B20:N20"/>
    </sheetView>
  </sheetViews>
  <sheetFormatPr baseColWidth="10" defaultColWidth="11.42578125" defaultRowHeight="11.25"/>
  <cols>
    <col min="1" max="1" width="4" style="3" customWidth="1"/>
    <col min="2" max="2" width="25.85546875" style="3" customWidth="1"/>
    <col min="3" max="3" width="16.5703125" style="3" customWidth="1"/>
    <col min="4" max="4" width="8" style="3" customWidth="1"/>
    <col min="5" max="5" width="2.28515625" style="3" customWidth="1"/>
    <col min="6" max="8" width="9.7109375" style="3" customWidth="1"/>
    <col min="9" max="9" width="8.85546875" style="3" customWidth="1"/>
    <col min="10" max="10" width="9.42578125" style="3" customWidth="1"/>
    <col min="11" max="14" width="8.7109375" style="3" customWidth="1"/>
    <col min="15" max="16" width="7.42578125" style="3" customWidth="1"/>
    <col min="17" max="17" width="5.28515625" style="3" customWidth="1"/>
    <col min="18" max="18" width="5.7109375" style="3" customWidth="1"/>
    <col min="19" max="19" width="7.7109375" style="3" customWidth="1"/>
    <col min="20" max="256" width="9.140625" style="3" customWidth="1"/>
    <col min="257" max="16384" width="11.42578125" style="3"/>
  </cols>
  <sheetData>
    <row r="1" spans="2:14" ht="15" customHeight="1">
      <c r="B1" s="192"/>
      <c r="C1" s="253" t="s">
        <v>129</v>
      </c>
      <c r="D1" s="253"/>
      <c r="E1" s="253"/>
      <c r="F1" s="253"/>
      <c r="G1" s="253"/>
      <c r="H1" s="253"/>
      <c r="I1" s="253"/>
      <c r="J1" s="212" t="s">
        <v>1</v>
      </c>
      <c r="K1" s="212"/>
      <c r="L1" s="213" t="s">
        <v>130</v>
      </c>
      <c r="M1" s="213"/>
      <c r="N1" s="213"/>
    </row>
    <row r="2" spans="2:14" ht="15" customHeight="1">
      <c r="B2" s="192"/>
      <c r="C2" s="253"/>
      <c r="D2" s="253"/>
      <c r="E2" s="253"/>
      <c r="F2" s="253"/>
      <c r="G2" s="253"/>
      <c r="H2" s="253"/>
      <c r="I2" s="253"/>
      <c r="J2" s="212" t="s">
        <v>3</v>
      </c>
      <c r="K2" s="212"/>
      <c r="L2" s="218">
        <v>45651</v>
      </c>
      <c r="M2" s="218"/>
      <c r="N2" s="218"/>
    </row>
    <row r="3" spans="2:14" ht="15" customHeight="1">
      <c r="B3" s="192"/>
      <c r="C3" s="253"/>
      <c r="D3" s="253"/>
      <c r="E3" s="253"/>
      <c r="F3" s="253"/>
      <c r="G3" s="253"/>
      <c r="H3" s="253"/>
      <c r="I3" s="253"/>
      <c r="J3" s="212" t="s">
        <v>4</v>
      </c>
      <c r="K3" s="212"/>
      <c r="L3" s="218">
        <v>45682</v>
      </c>
      <c r="M3" s="218"/>
      <c r="N3" s="218"/>
    </row>
    <row r="4" spans="2:14" ht="15" customHeight="1">
      <c r="B4" s="192"/>
      <c r="C4" s="253" t="s">
        <v>5</v>
      </c>
      <c r="D4" s="253"/>
      <c r="E4" s="253"/>
      <c r="F4" s="253"/>
      <c r="G4" s="253"/>
      <c r="H4" s="253"/>
      <c r="I4" s="253"/>
      <c r="J4" s="212" t="s">
        <v>6</v>
      </c>
      <c r="K4" s="212"/>
      <c r="L4" s="213" t="s">
        <v>7</v>
      </c>
      <c r="M4" s="213"/>
      <c r="N4" s="213"/>
    </row>
    <row r="5" spans="2:14" ht="15" customHeight="1">
      <c r="B5" s="192"/>
      <c r="C5" s="253"/>
      <c r="D5" s="253"/>
      <c r="E5" s="253"/>
      <c r="F5" s="253"/>
      <c r="G5" s="253"/>
      <c r="H5" s="253"/>
      <c r="I5" s="253"/>
      <c r="J5" s="212" t="s">
        <v>8</v>
      </c>
      <c r="K5" s="212"/>
      <c r="L5" s="213" t="s">
        <v>9</v>
      </c>
      <c r="M5" s="213"/>
      <c r="N5" s="213"/>
    </row>
    <row r="6" spans="2:14" ht="15" customHeight="1">
      <c r="B6" s="192"/>
      <c r="C6" s="253"/>
      <c r="D6" s="253"/>
      <c r="E6" s="253"/>
      <c r="F6" s="253"/>
      <c r="G6" s="253"/>
      <c r="H6" s="253"/>
      <c r="I6" s="253"/>
      <c r="J6" s="212" t="s">
        <v>10</v>
      </c>
      <c r="K6" s="212"/>
      <c r="L6" s="213" t="s">
        <v>11</v>
      </c>
      <c r="M6" s="213"/>
      <c r="N6" s="213"/>
    </row>
    <row r="7" spans="2:14" ht="9.9499999999999993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3"/>
    </row>
    <row r="8" spans="2:14" s="54" customFormat="1" ht="20.100000000000001" customHeight="1">
      <c r="B8" s="55" t="s">
        <v>12</v>
      </c>
      <c r="C8" s="214" t="s">
        <v>142</v>
      </c>
      <c r="D8" s="214"/>
      <c r="E8" s="214"/>
      <c r="F8" s="214"/>
      <c r="H8" s="93" t="s">
        <v>13</v>
      </c>
      <c r="I8" s="93"/>
      <c r="J8" s="215">
        <v>46190</v>
      </c>
      <c r="K8" s="215"/>
      <c r="L8" s="215"/>
      <c r="M8" s="215"/>
      <c r="N8" s="215"/>
    </row>
    <row r="9" spans="2:14" ht="9.9499999999999993" customHeight="1">
      <c r="C9" s="7"/>
      <c r="D9" s="7"/>
      <c r="H9" s="2"/>
      <c r="K9" s="34"/>
      <c r="L9" s="34"/>
      <c r="M9" s="34"/>
      <c r="N9" s="33"/>
    </row>
    <row r="10" spans="2:14" ht="14.25" customHeight="1">
      <c r="B10" s="94" t="s">
        <v>14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</row>
    <row r="11" spans="2:14" ht="5.0999999999999996" customHeight="1"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</row>
    <row r="12" spans="2:14" ht="20.100000000000001" customHeight="1">
      <c r="B12" s="95" t="s">
        <v>15</v>
      </c>
      <c r="C12" s="95"/>
      <c r="D12" s="216" t="s">
        <v>143</v>
      </c>
      <c r="E12" s="216"/>
      <c r="F12" s="216"/>
      <c r="G12" s="216"/>
      <c r="H12" s="216"/>
      <c r="I12" s="216"/>
      <c r="J12" s="216"/>
      <c r="K12" s="216"/>
      <c r="L12" s="216"/>
      <c r="M12" s="216"/>
      <c r="N12" s="216"/>
    </row>
    <row r="13" spans="2:14" ht="5.0999999999999996" customHeight="1">
      <c r="B13" s="10"/>
      <c r="C13" s="10"/>
      <c r="D13" s="81"/>
      <c r="E13" s="81"/>
      <c r="F13" s="82"/>
      <c r="G13" s="82"/>
      <c r="H13" s="82"/>
      <c r="I13" s="82"/>
      <c r="J13" s="82"/>
      <c r="K13" s="82"/>
      <c r="L13" s="82"/>
      <c r="M13" s="82"/>
      <c r="N13" s="82"/>
    </row>
    <row r="14" spans="2:14" ht="20.100000000000001" customHeight="1">
      <c r="B14" s="95" t="s">
        <v>16</v>
      </c>
      <c r="C14" s="95"/>
      <c r="D14" s="217" t="s">
        <v>144</v>
      </c>
      <c r="E14" s="217"/>
      <c r="F14" s="217"/>
      <c r="G14" s="217"/>
      <c r="H14" s="217"/>
      <c r="I14" s="217"/>
      <c r="J14" s="217"/>
      <c r="K14" s="217"/>
      <c r="L14" s="217"/>
      <c r="M14" s="217"/>
      <c r="N14" s="217"/>
    </row>
    <row r="15" spans="2:14" ht="5.0999999999999996" customHeight="1">
      <c r="B15" s="10"/>
      <c r="C15" s="13"/>
      <c r="D15" s="83"/>
      <c r="E15" s="83"/>
      <c r="F15" s="84"/>
      <c r="G15" s="84"/>
      <c r="H15" s="84"/>
      <c r="I15" s="84"/>
      <c r="J15" s="84"/>
      <c r="K15" s="84"/>
      <c r="L15" s="84"/>
      <c r="M15" s="84"/>
      <c r="N15" s="84"/>
    </row>
    <row r="16" spans="2:14" ht="20.100000000000001" customHeight="1">
      <c r="B16" s="95" t="s">
        <v>17</v>
      </c>
      <c r="C16" s="95"/>
      <c r="D16" s="232" t="s">
        <v>145</v>
      </c>
      <c r="E16" s="216"/>
      <c r="F16" s="216"/>
      <c r="G16" s="216"/>
      <c r="H16" s="216"/>
      <c r="I16" s="216"/>
      <c r="J16" s="216"/>
      <c r="K16" s="216"/>
      <c r="L16" s="216"/>
      <c r="M16" s="216"/>
      <c r="N16" s="216"/>
    </row>
    <row r="17" spans="2:17" ht="5.0999999999999996" customHeight="1">
      <c r="D17" s="85"/>
      <c r="E17" s="85"/>
      <c r="F17" s="84"/>
      <c r="G17" s="84"/>
      <c r="H17" s="84"/>
      <c r="I17" s="84"/>
      <c r="J17" s="84"/>
      <c r="K17" s="84"/>
      <c r="L17" s="84"/>
      <c r="M17" s="84"/>
      <c r="N17" s="84"/>
    </row>
    <row r="18" spans="2:17" ht="20.100000000000001" customHeight="1">
      <c r="B18" s="54" t="s">
        <v>18</v>
      </c>
      <c r="D18" s="216">
        <v>50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</row>
    <row r="19" spans="2:17" ht="9.9499999999999993" customHeight="1"/>
    <row r="20" spans="2:17" ht="14.25" customHeight="1">
      <c r="B20" s="94" t="s">
        <v>19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2:17" ht="5.0999999999999996" customHeight="1"/>
    <row r="22" spans="2:17" ht="20.100000000000001" customHeight="1">
      <c r="B22" s="13" t="s">
        <v>20</v>
      </c>
      <c r="D22" s="216" t="s">
        <v>137</v>
      </c>
      <c r="E22" s="216"/>
      <c r="F22" s="216"/>
      <c r="G22" s="216"/>
      <c r="H22" s="216"/>
      <c r="I22" s="216"/>
      <c r="J22" s="216"/>
      <c r="K22" s="216"/>
      <c r="L22" s="216"/>
      <c r="M22" s="216"/>
      <c r="N22" s="216"/>
    </row>
    <row r="23" spans="2:17" ht="5.0999999999999996" customHeight="1">
      <c r="B23" s="15"/>
      <c r="D23" s="85"/>
      <c r="E23" s="85"/>
      <c r="F23" s="84"/>
      <c r="G23" s="84"/>
      <c r="H23" s="84"/>
      <c r="I23" s="84"/>
      <c r="J23" s="84"/>
      <c r="K23" s="84"/>
      <c r="L23" s="84"/>
      <c r="M23" s="84"/>
      <c r="N23" s="84"/>
    </row>
    <row r="24" spans="2:17" ht="20.100000000000001" customHeight="1">
      <c r="B24" s="13" t="s">
        <v>21</v>
      </c>
      <c r="D24" s="216" t="s">
        <v>146</v>
      </c>
      <c r="E24" s="216"/>
      <c r="F24" s="216"/>
      <c r="G24" s="216"/>
      <c r="H24" s="216"/>
      <c r="I24" s="216"/>
      <c r="J24" s="216"/>
      <c r="K24" s="216"/>
      <c r="L24" s="216"/>
      <c r="M24" s="216"/>
      <c r="N24" s="216"/>
    </row>
    <row r="25" spans="2:17" ht="5.0999999999999996" customHeight="1">
      <c r="B25" s="15"/>
      <c r="D25" s="85"/>
      <c r="E25" s="85"/>
      <c r="F25" s="84"/>
      <c r="G25" s="84"/>
      <c r="H25" s="84"/>
      <c r="I25" s="84"/>
      <c r="J25" s="84"/>
      <c r="K25" s="84"/>
      <c r="L25" s="84"/>
      <c r="M25" s="84"/>
      <c r="N25" s="84"/>
    </row>
    <row r="26" spans="2:17" ht="20.100000000000001" customHeight="1">
      <c r="B26" s="13" t="s">
        <v>22</v>
      </c>
      <c r="D26" s="216" t="s">
        <v>147</v>
      </c>
      <c r="E26" s="216"/>
      <c r="F26" s="216"/>
      <c r="G26" s="216"/>
      <c r="H26" s="216"/>
      <c r="I26" s="216"/>
      <c r="J26" s="216"/>
      <c r="K26" s="216"/>
      <c r="L26" s="216"/>
      <c r="M26" s="216"/>
      <c r="N26" s="216"/>
    </row>
    <row r="27" spans="2:17" ht="5.0999999999999996" customHeight="1">
      <c r="B27" s="15"/>
      <c r="F27" s="14"/>
      <c r="G27" s="14"/>
      <c r="H27" s="14"/>
      <c r="I27" s="14"/>
      <c r="J27" s="14"/>
      <c r="K27" s="14"/>
      <c r="L27" s="14"/>
      <c r="M27" s="14"/>
      <c r="N27" s="14"/>
    </row>
    <row r="28" spans="2:17" ht="20.100000000000001" customHeight="1">
      <c r="B28" s="13" t="s">
        <v>23</v>
      </c>
      <c r="D28" s="233" t="s">
        <v>131</v>
      </c>
      <c r="E28" s="233"/>
      <c r="F28" s="233"/>
      <c r="G28" s="233"/>
      <c r="H28" s="233"/>
      <c r="I28" s="60" t="s">
        <v>24</v>
      </c>
      <c r="J28" s="217" t="s">
        <v>148</v>
      </c>
      <c r="K28" s="217"/>
      <c r="L28" s="217"/>
      <c r="M28" s="217"/>
      <c r="N28" s="217"/>
    </row>
    <row r="29" spans="2:17" ht="9.9499999999999993" customHeight="1"/>
    <row r="30" spans="2:17" ht="20.25" customHeight="1">
      <c r="B30" s="101" t="s">
        <v>25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4"/>
      <c r="P30" s="4"/>
      <c r="Q30" s="4"/>
    </row>
    <row r="31" spans="2:17" ht="5.0999999999999996" customHeight="1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2:17" ht="11.25" customHeight="1">
      <c r="B32" s="102" t="s">
        <v>26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</row>
    <row r="33" spans="2:20" ht="5.0999999999999996" customHeight="1"/>
    <row r="34" spans="2:20" ht="16.5" customHeight="1">
      <c r="B34" s="101" t="s">
        <v>27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4"/>
      <c r="P34" s="4"/>
      <c r="Q34" s="4"/>
    </row>
    <row r="35" spans="2:20" ht="6.75" customHeight="1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4"/>
      <c r="P35" s="4"/>
      <c r="Q35" s="4"/>
    </row>
    <row r="36" spans="2:20" ht="34.5" customHeight="1">
      <c r="B36" s="254" t="s">
        <v>28</v>
      </c>
      <c r="C36" s="255"/>
      <c r="D36" s="256"/>
      <c r="E36" s="260" t="s">
        <v>29</v>
      </c>
      <c r="F36" s="260"/>
      <c r="G36" s="260"/>
      <c r="H36" s="260"/>
      <c r="I36" s="260"/>
      <c r="J36" s="219" t="s">
        <v>30</v>
      </c>
      <c r="K36" s="219"/>
      <c r="L36" s="219"/>
      <c r="M36" s="219"/>
      <c r="N36" s="219"/>
      <c r="O36" s="35"/>
      <c r="P36" s="35"/>
      <c r="Q36" s="35"/>
      <c r="R36" s="38"/>
      <c r="S36" s="38"/>
    </row>
    <row r="37" spans="2:20" ht="15" customHeight="1">
      <c r="B37" s="257"/>
      <c r="C37" s="258"/>
      <c r="D37" s="259"/>
      <c r="E37" s="260"/>
      <c r="F37" s="260"/>
      <c r="G37" s="260"/>
      <c r="H37" s="260"/>
      <c r="I37" s="260"/>
      <c r="J37" s="87" t="s">
        <v>31</v>
      </c>
      <c r="K37" s="87" t="s">
        <v>32</v>
      </c>
      <c r="L37" s="87" t="s">
        <v>33</v>
      </c>
      <c r="M37" s="87" t="s">
        <v>34</v>
      </c>
      <c r="N37" s="87" t="s">
        <v>35</v>
      </c>
      <c r="O37" s="36"/>
      <c r="P37" s="36"/>
      <c r="Q37" s="36"/>
    </row>
    <row r="38" spans="2:20" ht="23.25" customHeight="1">
      <c r="B38" s="220" t="s">
        <v>132</v>
      </c>
      <c r="C38" s="221"/>
      <c r="D38" s="222"/>
      <c r="E38" s="149" t="s">
        <v>136</v>
      </c>
      <c r="F38" s="149"/>
      <c r="G38" s="149"/>
      <c r="H38" s="149"/>
      <c r="I38" s="149"/>
      <c r="J38" s="86" t="s">
        <v>94</v>
      </c>
      <c r="K38" s="86" t="s">
        <v>94</v>
      </c>
      <c r="L38" s="86" t="s">
        <v>134</v>
      </c>
      <c r="M38" s="86" t="s">
        <v>134</v>
      </c>
      <c r="N38" s="86" t="s">
        <v>134</v>
      </c>
      <c r="P38" s="226" t="s">
        <v>89</v>
      </c>
      <c r="Q38" s="227"/>
      <c r="R38" s="227"/>
      <c r="S38" s="227"/>
      <c r="T38" s="228"/>
    </row>
    <row r="39" spans="2:20" ht="23.25" customHeight="1">
      <c r="B39" s="223"/>
      <c r="C39" s="224"/>
      <c r="D39" s="225"/>
      <c r="E39" s="149"/>
      <c r="F39" s="149"/>
      <c r="G39" s="149"/>
      <c r="H39" s="149"/>
      <c r="I39" s="149"/>
      <c r="J39" s="86" t="str">
        <f>IF(P38="-","-",INDEX(Hoja2!$C$3:$H$9,MATCH('HOJA DE TRABAJO'!P38,Hoja2!$C$3:$C$9,0),2))</f>
        <v>-</v>
      </c>
      <c r="K39" s="86" t="str">
        <f>IF(P38="-","-",INDEX(Hoja2!$C$3:$H$9,MATCH('HOJA DE TRABAJO'!P38,Hoja2!$C$3:$C$9,0),3))</f>
        <v>-</v>
      </c>
      <c r="L39" s="86" t="str">
        <f>IF(P38="-","-",INDEX(Hoja2!$C$3:$H$9,MATCH('HOJA DE TRABAJO'!P38,Hoja2!$C$3:$C$9,0),4))</f>
        <v>-</v>
      </c>
      <c r="M39" s="86" t="str">
        <f>IF(P38="-","-",INDEX(Hoja2!$C$3:$H$9,MATCH('HOJA DE TRABAJO'!P38,Hoja2!$C$3:$C$9,0),5))</f>
        <v>-</v>
      </c>
      <c r="N39" s="86" t="str">
        <f>IF(P38="-","-",INDEX(Hoja2!$C$3:$H$9,MATCH('HOJA DE TRABAJO'!P38,Hoja2!$C$3:$C$9,0),6))</f>
        <v>-</v>
      </c>
      <c r="P39" s="229"/>
      <c r="Q39" s="230"/>
      <c r="R39" s="230"/>
      <c r="S39" s="230"/>
      <c r="T39" s="231"/>
    </row>
    <row r="40" spans="2:20" ht="5.0999999999999996" customHeight="1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2:20" ht="22.5" customHeight="1">
      <c r="B41" s="101" t="s">
        <v>36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</row>
    <row r="42" spans="2:20" ht="24.95" customHeight="1">
      <c r="B42" s="113" t="s">
        <v>37</v>
      </c>
      <c r="C42" s="114"/>
      <c r="D42" s="115"/>
      <c r="E42" s="234" t="s">
        <v>138</v>
      </c>
      <c r="F42" s="235"/>
      <c r="G42" s="235"/>
      <c r="H42" s="235"/>
      <c r="I42" s="235"/>
      <c r="J42" s="235"/>
      <c r="K42" s="235"/>
      <c r="L42" s="235"/>
      <c r="M42" s="235"/>
      <c r="N42" s="236"/>
    </row>
    <row r="43" spans="2:20" ht="24.95" customHeight="1">
      <c r="B43" s="119" t="s">
        <v>22</v>
      </c>
      <c r="C43" s="120"/>
      <c r="D43" s="121"/>
      <c r="E43" s="237" t="s">
        <v>139</v>
      </c>
      <c r="F43" s="238"/>
      <c r="G43" s="238"/>
      <c r="H43" s="238"/>
      <c r="I43" s="238"/>
      <c r="J43" s="238"/>
      <c r="K43" s="238"/>
      <c r="L43" s="238"/>
      <c r="M43" s="238"/>
      <c r="N43" s="239"/>
    </row>
    <row r="44" spans="2:20" ht="24.95" customHeight="1">
      <c r="B44" s="119" t="s">
        <v>38</v>
      </c>
      <c r="C44" s="120"/>
      <c r="D44" s="121"/>
      <c r="E44" s="237" t="s">
        <v>140</v>
      </c>
      <c r="F44" s="238"/>
      <c r="G44" s="238"/>
      <c r="H44" s="238"/>
      <c r="I44" s="238"/>
      <c r="J44" s="238"/>
      <c r="K44" s="238"/>
      <c r="L44" s="238"/>
      <c r="M44" s="238"/>
      <c r="N44" s="239"/>
    </row>
    <row r="45" spans="2:20" ht="24.95" customHeight="1">
      <c r="B45" s="125" t="s">
        <v>23</v>
      </c>
      <c r="C45" s="126"/>
      <c r="D45" s="127"/>
      <c r="E45" s="240" t="s">
        <v>133</v>
      </c>
      <c r="F45" s="241"/>
      <c r="G45" s="241"/>
      <c r="H45" s="241"/>
      <c r="I45" s="241"/>
      <c r="J45" s="241"/>
      <c r="K45" s="241"/>
      <c r="L45" s="241"/>
      <c r="M45" s="241"/>
      <c r="N45" s="242"/>
    </row>
    <row r="46" spans="2:20" ht="9.9499999999999993" customHeight="1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2:20" ht="22.5" customHeight="1">
      <c r="B47" s="101" t="s">
        <v>39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8"/>
      <c r="P47" s="18"/>
      <c r="Q47" s="18"/>
    </row>
    <row r="48" spans="2:20" ht="5.0999999999999996" customHeight="1"/>
    <row r="49" spans="2:14" ht="16.149999999999999" customHeight="1">
      <c r="B49" s="131" t="s">
        <v>40</v>
      </c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</row>
    <row r="50" spans="2:14" ht="5.0999999999999996" customHeight="1">
      <c r="C50" s="23"/>
      <c r="D50" s="23"/>
      <c r="E50" s="23"/>
      <c r="F50" s="23"/>
      <c r="G50" s="23"/>
      <c r="H50" s="23"/>
    </row>
    <row r="51" spans="2:14" ht="18.75" customHeight="1">
      <c r="B51" s="195" t="s">
        <v>41</v>
      </c>
      <c r="C51" s="196"/>
      <c r="D51" s="132" t="s">
        <v>42</v>
      </c>
      <c r="E51" s="133"/>
      <c r="F51" s="133"/>
      <c r="G51" s="133"/>
      <c r="H51" s="133"/>
      <c r="I51" s="133"/>
      <c r="J51" s="133"/>
      <c r="K51" s="133"/>
      <c r="L51" s="133"/>
      <c r="M51" s="133"/>
      <c r="N51" s="134"/>
    </row>
    <row r="52" spans="2:14" ht="20.25" customHeight="1">
      <c r="B52" s="197"/>
      <c r="C52" s="198"/>
      <c r="D52" s="135" t="s">
        <v>43</v>
      </c>
      <c r="E52" s="136"/>
      <c r="F52" s="136"/>
      <c r="G52" s="136"/>
      <c r="H52" s="137"/>
      <c r="I52" s="62" t="s">
        <v>44</v>
      </c>
      <c r="J52" s="62" t="s">
        <v>45</v>
      </c>
      <c r="K52" s="138" t="s">
        <v>46</v>
      </c>
      <c r="L52" s="138"/>
      <c r="M52" s="138"/>
      <c r="N52" s="139"/>
    </row>
    <row r="53" spans="2:14" ht="35.1" customHeight="1">
      <c r="B53" s="140" t="s">
        <v>47</v>
      </c>
      <c r="C53" s="141"/>
      <c r="D53" s="243"/>
      <c r="E53" s="243"/>
      <c r="F53" s="243"/>
      <c r="G53" s="243"/>
      <c r="H53" s="243"/>
      <c r="I53" s="59"/>
      <c r="J53" s="59"/>
      <c r="K53" s="243"/>
      <c r="L53" s="243"/>
      <c r="M53" s="243"/>
      <c r="N53" s="244"/>
    </row>
    <row r="54" spans="2:14" s="2" customFormat="1" ht="35.1" customHeight="1">
      <c r="B54" s="144" t="s">
        <v>48</v>
      </c>
      <c r="C54" s="145"/>
      <c r="D54" s="245"/>
      <c r="E54" s="245"/>
      <c r="F54" s="245"/>
      <c r="G54" s="245"/>
      <c r="H54" s="245"/>
      <c r="I54" s="56"/>
      <c r="J54" s="56"/>
      <c r="K54" s="98"/>
      <c r="L54" s="98"/>
      <c r="M54" s="98"/>
      <c r="N54" s="246"/>
    </row>
    <row r="55" spans="2:14" s="2" customFormat="1" ht="35.1" customHeight="1">
      <c r="B55" s="148" t="s">
        <v>49</v>
      </c>
      <c r="C55" s="149"/>
      <c r="D55" s="245" t="s">
        <v>149</v>
      </c>
      <c r="E55" s="245"/>
      <c r="F55" s="245"/>
      <c r="G55" s="245"/>
      <c r="H55" s="245"/>
      <c r="I55" s="56" t="s">
        <v>141</v>
      </c>
      <c r="J55" s="56" t="s">
        <v>151</v>
      </c>
      <c r="K55" s="185" t="s">
        <v>150</v>
      </c>
      <c r="L55" s="98"/>
      <c r="M55" s="98"/>
      <c r="N55" s="246"/>
    </row>
    <row r="56" spans="2:14" s="2" customFormat="1" ht="35.1" customHeight="1">
      <c r="B56" s="148" t="s">
        <v>50</v>
      </c>
      <c r="C56" s="149"/>
      <c r="D56" s="245"/>
      <c r="E56" s="245"/>
      <c r="F56" s="245"/>
      <c r="G56" s="245"/>
      <c r="H56" s="245"/>
      <c r="I56" s="56"/>
      <c r="J56" s="56"/>
      <c r="K56" s="98"/>
      <c r="L56" s="98"/>
      <c r="M56" s="98"/>
      <c r="N56" s="246"/>
    </row>
    <row r="57" spans="2:14" s="2" customFormat="1" ht="35.1" customHeight="1">
      <c r="B57" s="148" t="s">
        <v>51</v>
      </c>
      <c r="C57" s="149"/>
      <c r="D57" s="245"/>
      <c r="E57" s="245"/>
      <c r="F57" s="245"/>
      <c r="G57" s="245"/>
      <c r="H57" s="245"/>
      <c r="I57" s="56"/>
      <c r="J57" s="63"/>
      <c r="K57" s="98"/>
      <c r="L57" s="98"/>
      <c r="M57" s="98"/>
      <c r="N57" s="246"/>
    </row>
    <row r="58" spans="2:14" s="2" customFormat="1" ht="35.1" customHeight="1">
      <c r="B58" s="150" t="s">
        <v>52</v>
      </c>
      <c r="C58" s="151"/>
      <c r="D58" s="248"/>
      <c r="E58" s="248"/>
      <c r="F58" s="248"/>
      <c r="G58" s="248"/>
      <c r="H58" s="248"/>
      <c r="I58" s="58"/>
      <c r="J58" s="58"/>
      <c r="K58" s="112"/>
      <c r="L58" s="112"/>
      <c r="M58" s="112"/>
      <c r="N58" s="249"/>
    </row>
    <row r="59" spans="2:14" ht="5.0999999999999996" customHeight="1">
      <c r="C59" s="23"/>
      <c r="D59" s="23"/>
      <c r="E59" s="23"/>
      <c r="F59" s="23"/>
      <c r="G59" s="23"/>
      <c r="H59" s="23"/>
    </row>
    <row r="60" spans="2:14" ht="18.600000000000001" customHeight="1">
      <c r="B60" s="131" t="s">
        <v>53</v>
      </c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</row>
    <row r="61" spans="2:14" ht="5.0999999999999996" customHeight="1"/>
    <row r="62" spans="2:14" ht="28.5" customHeight="1">
      <c r="B62" s="155" t="s">
        <v>54</v>
      </c>
      <c r="C62" s="156"/>
      <c r="D62" s="156"/>
      <c r="E62" s="156"/>
      <c r="F62" s="156"/>
      <c r="G62" s="157" t="s">
        <v>55</v>
      </c>
      <c r="H62" s="157"/>
      <c r="I62" s="157"/>
      <c r="J62" s="157" t="s">
        <v>56</v>
      </c>
      <c r="K62" s="157"/>
      <c r="L62" s="157" t="s">
        <v>57</v>
      </c>
      <c r="M62" s="157"/>
      <c r="N62" s="158"/>
    </row>
    <row r="63" spans="2:14" ht="20.100000000000001" customHeight="1">
      <c r="B63" s="250"/>
      <c r="C63" s="108"/>
      <c r="D63" s="108"/>
      <c r="E63" s="108"/>
      <c r="F63" s="108"/>
      <c r="G63" s="108"/>
      <c r="H63" s="108"/>
      <c r="I63" s="108"/>
      <c r="J63" s="251"/>
      <c r="K63" s="108"/>
      <c r="L63" s="108"/>
      <c r="M63" s="108"/>
      <c r="N63" s="252"/>
    </row>
    <row r="64" spans="2:14" ht="20.100000000000001" customHeight="1">
      <c r="B64" s="278"/>
      <c r="C64" s="98"/>
      <c r="D64" s="98"/>
      <c r="E64" s="98"/>
      <c r="F64" s="98"/>
      <c r="G64" s="98"/>
      <c r="H64" s="98"/>
      <c r="I64" s="98"/>
      <c r="J64" s="247"/>
      <c r="K64" s="98"/>
      <c r="L64" s="98"/>
      <c r="M64" s="98"/>
      <c r="N64" s="246"/>
    </row>
    <row r="65" spans="2:17" ht="5.0999999999999996" customHeight="1"/>
    <row r="66" spans="2:17" ht="19.5" customHeight="1">
      <c r="B66" s="168" t="s">
        <v>58</v>
      </c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</row>
    <row r="67" spans="2:17" ht="5.0999999999999996" customHeight="1"/>
    <row r="68" spans="2:17" ht="26.25" customHeight="1">
      <c r="B68" s="169" t="s">
        <v>59</v>
      </c>
      <c r="C68" s="133"/>
      <c r="D68" s="170"/>
      <c r="E68" s="132" t="s">
        <v>60</v>
      </c>
      <c r="F68" s="133"/>
      <c r="G68" s="133"/>
      <c r="H68" s="133"/>
      <c r="I68" s="133"/>
      <c r="J68" s="133"/>
      <c r="K68" s="170"/>
      <c r="L68" s="265" t="s">
        <v>61</v>
      </c>
      <c r="M68" s="266"/>
      <c r="N68" s="267"/>
      <c r="O68" s="4"/>
      <c r="P68" s="4"/>
      <c r="Q68" s="4"/>
    </row>
    <row r="69" spans="2:17" ht="15" customHeight="1">
      <c r="B69" s="64" t="s">
        <v>62</v>
      </c>
      <c r="C69" s="171" t="s">
        <v>63</v>
      </c>
      <c r="D69" s="172"/>
      <c r="E69" s="173" t="s">
        <v>64</v>
      </c>
      <c r="F69" s="173"/>
      <c r="G69" s="173"/>
      <c r="H69" s="173" t="s">
        <v>65</v>
      </c>
      <c r="I69" s="173"/>
      <c r="J69" s="271" t="s">
        <v>66</v>
      </c>
      <c r="K69" s="272"/>
      <c r="L69" s="268"/>
      <c r="M69" s="269"/>
      <c r="N69" s="270"/>
      <c r="O69" s="4"/>
      <c r="P69" s="4"/>
      <c r="Q69" s="4"/>
    </row>
    <row r="70" spans="2:17" ht="45" customHeight="1">
      <c r="B70" s="89">
        <v>42312</v>
      </c>
      <c r="C70" s="261">
        <v>42429</v>
      </c>
      <c r="D70" s="261"/>
      <c r="E70" s="262" t="s">
        <v>152</v>
      </c>
      <c r="F70" s="262"/>
      <c r="G70" s="262"/>
      <c r="H70" s="262" t="s">
        <v>153</v>
      </c>
      <c r="I70" s="262"/>
      <c r="J70" s="276" t="s">
        <v>89</v>
      </c>
      <c r="K70" s="277"/>
      <c r="L70" s="273" t="s">
        <v>154</v>
      </c>
      <c r="M70" s="274"/>
      <c r="N70" s="275"/>
      <c r="O70" s="47"/>
      <c r="P70" s="47"/>
      <c r="Q70" s="47"/>
    </row>
    <row r="71" spans="2:17" ht="45" customHeight="1">
      <c r="B71" s="88">
        <v>44498</v>
      </c>
      <c r="C71" s="263">
        <v>44947</v>
      </c>
      <c r="D71" s="263"/>
      <c r="E71" s="264" t="s">
        <v>158</v>
      </c>
      <c r="F71" s="264"/>
      <c r="G71" s="264"/>
      <c r="H71" s="264" t="s">
        <v>156</v>
      </c>
      <c r="I71" s="264"/>
      <c r="J71" s="264" t="s">
        <v>157</v>
      </c>
      <c r="K71" s="264"/>
      <c r="L71" s="237" t="s">
        <v>155</v>
      </c>
      <c r="M71" s="238"/>
      <c r="N71" s="239"/>
      <c r="O71" s="47"/>
      <c r="P71" s="47"/>
      <c r="Q71" s="47"/>
    </row>
    <row r="72" spans="2:17" ht="15" customHeight="1"/>
    <row r="73" spans="2:17" ht="22.5" customHeight="1">
      <c r="B73" s="210" t="s">
        <v>67</v>
      </c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41"/>
      <c r="P73" s="41"/>
      <c r="Q73" s="41"/>
    </row>
    <row r="74" spans="2:17" ht="5.0999999999999996" customHeight="1">
      <c r="B74" s="41"/>
      <c r="C74" s="41"/>
      <c r="D74" s="41"/>
      <c r="E74" s="41"/>
      <c r="F74" s="41"/>
      <c r="G74" s="41"/>
      <c r="H74" s="41"/>
      <c r="I74" s="41"/>
      <c r="J74" s="48"/>
    </row>
    <row r="75" spans="2:17" ht="12" customHeight="1">
      <c r="B75" s="211" t="s">
        <v>68</v>
      </c>
      <c r="C75" s="211"/>
      <c r="D75" s="211"/>
      <c r="E75" s="211"/>
      <c r="F75" s="211"/>
      <c r="G75" s="211"/>
      <c r="H75" s="211"/>
      <c r="I75" s="211"/>
      <c r="J75" s="211"/>
    </row>
    <row r="76" spans="2:17" ht="12" customHeight="1">
      <c r="B76" s="42" t="s">
        <v>69</v>
      </c>
      <c r="C76" s="42"/>
      <c r="D76" s="42"/>
      <c r="E76" s="42"/>
      <c r="F76" s="42"/>
      <c r="G76" s="42"/>
      <c r="H76" s="42"/>
      <c r="I76" s="42"/>
      <c r="J76" s="42"/>
    </row>
    <row r="77" spans="2:17" ht="12" customHeight="1">
      <c r="B77" s="174" t="s">
        <v>70</v>
      </c>
      <c r="C77" s="174"/>
      <c r="D77" s="174"/>
      <c r="E77" s="174"/>
      <c r="F77" s="174"/>
      <c r="G77" s="174"/>
      <c r="H77" s="174"/>
      <c r="I77" s="174"/>
      <c r="J77" s="174"/>
    </row>
    <row r="78" spans="2:17" ht="12" customHeight="1">
      <c r="B78" s="174" t="s">
        <v>71</v>
      </c>
      <c r="C78" s="174"/>
      <c r="D78" s="174"/>
      <c r="E78" s="174"/>
      <c r="F78" s="174"/>
      <c r="G78" s="174"/>
      <c r="H78" s="174"/>
      <c r="I78" s="174"/>
      <c r="J78" s="174"/>
      <c r="K78" s="43"/>
    </row>
    <row r="79" spans="2:17" ht="12" customHeight="1">
      <c r="B79" s="175" t="s">
        <v>72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</row>
    <row r="80" spans="2:17" ht="15" customHeight="1">
      <c r="B80" s="101" t="s">
        <v>135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8"/>
      <c r="P80" s="18"/>
      <c r="Q80" s="18"/>
    </row>
    <row r="81" spans="2:17" ht="20.25" customHeight="1"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8"/>
      <c r="P81" s="18"/>
      <c r="Q81" s="18"/>
    </row>
    <row r="82" spans="2:17" ht="15" customHeight="1">
      <c r="B82" s="194" t="s">
        <v>74</v>
      </c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"/>
      <c r="P82" s="19"/>
      <c r="Q82" s="19"/>
    </row>
    <row r="83" spans="2:17"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"/>
      <c r="P83" s="19"/>
      <c r="Q83" s="19"/>
    </row>
    <row r="84" spans="2:17" ht="22.5" customHeight="1"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"/>
      <c r="P84" s="19"/>
      <c r="Q84" s="19"/>
    </row>
    <row r="85" spans="2:17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7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2:17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2:17">
      <c r="F88" s="176"/>
      <c r="G88" s="176"/>
      <c r="H88" s="176"/>
      <c r="I88" s="176"/>
      <c r="J88" s="176"/>
      <c r="K88" s="19"/>
      <c r="L88" s="19"/>
      <c r="M88" s="19"/>
      <c r="N88" s="19"/>
    </row>
    <row r="89" spans="2:17" ht="15" customHeight="1">
      <c r="F89" s="177" t="s">
        <v>75</v>
      </c>
      <c r="G89" s="177"/>
      <c r="H89" s="177"/>
      <c r="I89" s="177"/>
      <c r="J89" s="177"/>
      <c r="K89" s="19"/>
      <c r="L89" s="19"/>
      <c r="M89" s="19"/>
      <c r="N89" s="19"/>
    </row>
    <row r="90" spans="2:17" ht="15" customHeight="1">
      <c r="C90" s="178" t="str">
        <f>+D12</f>
        <v>RAMIREZ REYES ISIDRO</v>
      </c>
      <c r="D90" s="178"/>
      <c r="E90" s="178"/>
      <c r="F90" s="178"/>
      <c r="G90" s="178"/>
      <c r="H90" s="178"/>
      <c r="I90" s="178"/>
      <c r="J90" s="178"/>
      <c r="K90" s="178"/>
      <c r="L90" s="178"/>
      <c r="M90" s="80"/>
      <c r="N90" s="80"/>
    </row>
    <row r="91" spans="2:17" ht="10.5" customHeight="1">
      <c r="B91" s="19"/>
      <c r="C91" s="178" t="str">
        <f>D14</f>
        <v>0702994914</v>
      </c>
      <c r="D91" s="178"/>
      <c r="E91" s="178"/>
      <c r="F91" s="178"/>
      <c r="G91" s="178"/>
      <c r="H91" s="178"/>
      <c r="I91" s="178"/>
      <c r="J91" s="178"/>
      <c r="K91" s="178"/>
      <c r="L91" s="178"/>
      <c r="M91" s="19"/>
      <c r="N91" s="19"/>
    </row>
    <row r="92" spans="2:17" ht="5.0999999999999996" customHeight="1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2:17" ht="42" customHeight="1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1"/>
    </row>
    <row r="94" spans="2:17" ht="13.5" customHeight="1"/>
  </sheetData>
  <mergeCells count="116">
    <mergeCell ref="C90:L90"/>
    <mergeCell ref="B73:N73"/>
    <mergeCell ref="B75:J75"/>
    <mergeCell ref="B77:J77"/>
    <mergeCell ref="B78:J78"/>
    <mergeCell ref="B79:N79"/>
    <mergeCell ref="F88:J88"/>
    <mergeCell ref="F89:J89"/>
    <mergeCell ref="C91:L91"/>
    <mergeCell ref="B80:N81"/>
    <mergeCell ref="B82:N84"/>
    <mergeCell ref="C70:D70"/>
    <mergeCell ref="E70:G70"/>
    <mergeCell ref="H70:I70"/>
    <mergeCell ref="C71:D71"/>
    <mergeCell ref="E71:G71"/>
    <mergeCell ref="H71:I71"/>
    <mergeCell ref="B66:N66"/>
    <mergeCell ref="B68:D68"/>
    <mergeCell ref="C69:D69"/>
    <mergeCell ref="E69:G69"/>
    <mergeCell ref="H69:I69"/>
    <mergeCell ref="L68:N69"/>
    <mergeCell ref="E68:K68"/>
    <mergeCell ref="J69:K69"/>
    <mergeCell ref="L70:N70"/>
    <mergeCell ref="J70:K70"/>
    <mergeCell ref="L71:N71"/>
    <mergeCell ref="J71:K71"/>
    <mergeCell ref="G64:I64"/>
    <mergeCell ref="J64:K64"/>
    <mergeCell ref="L64:N64"/>
    <mergeCell ref="B58:C58"/>
    <mergeCell ref="D58:H58"/>
    <mergeCell ref="K58:N58"/>
    <mergeCell ref="B60:N60"/>
    <mergeCell ref="B62:F62"/>
    <mergeCell ref="G62:I62"/>
    <mergeCell ref="J62:K62"/>
    <mergeCell ref="L62:N62"/>
    <mergeCell ref="B63:F63"/>
    <mergeCell ref="G63:I63"/>
    <mergeCell ref="J63:K63"/>
    <mergeCell ref="L63:N63"/>
    <mergeCell ref="B64:F64"/>
    <mergeCell ref="B55:C55"/>
    <mergeCell ref="D55:H55"/>
    <mergeCell ref="K55:N55"/>
    <mergeCell ref="B56:C56"/>
    <mergeCell ref="D56:H56"/>
    <mergeCell ref="K56:N56"/>
    <mergeCell ref="B57:C57"/>
    <mergeCell ref="D57:H57"/>
    <mergeCell ref="K57:N57"/>
    <mergeCell ref="B49:N49"/>
    <mergeCell ref="D51:N51"/>
    <mergeCell ref="D52:H52"/>
    <mergeCell ref="K52:N52"/>
    <mergeCell ref="B53:C53"/>
    <mergeCell ref="D53:H53"/>
    <mergeCell ref="K53:N53"/>
    <mergeCell ref="B54:C54"/>
    <mergeCell ref="D54:H54"/>
    <mergeCell ref="K54:N54"/>
    <mergeCell ref="B51:C52"/>
    <mergeCell ref="B42:D42"/>
    <mergeCell ref="E42:N42"/>
    <mergeCell ref="B43:D43"/>
    <mergeCell ref="E43:N43"/>
    <mergeCell ref="B44:D44"/>
    <mergeCell ref="E44:N44"/>
    <mergeCell ref="B45:D45"/>
    <mergeCell ref="E45:N45"/>
    <mergeCell ref="B47:N47"/>
    <mergeCell ref="B30:N30"/>
    <mergeCell ref="B32:N32"/>
    <mergeCell ref="B34:N34"/>
    <mergeCell ref="J36:N36"/>
    <mergeCell ref="B41:N41"/>
    <mergeCell ref="B38:D39"/>
    <mergeCell ref="P38:T39"/>
    <mergeCell ref="E38:I39"/>
    <mergeCell ref="B16:C16"/>
    <mergeCell ref="D16:N16"/>
    <mergeCell ref="D18:N18"/>
    <mergeCell ref="B20:N20"/>
    <mergeCell ref="D22:N22"/>
    <mergeCell ref="D24:N24"/>
    <mergeCell ref="D26:N26"/>
    <mergeCell ref="D28:H28"/>
    <mergeCell ref="J28:N28"/>
    <mergeCell ref="B36:D37"/>
    <mergeCell ref="E36:I37"/>
    <mergeCell ref="J6:K6"/>
    <mergeCell ref="L6:N6"/>
    <mergeCell ref="C8:F8"/>
    <mergeCell ref="H8:I8"/>
    <mergeCell ref="J8:N8"/>
    <mergeCell ref="B10:N10"/>
    <mergeCell ref="B12:C12"/>
    <mergeCell ref="D12:N12"/>
    <mergeCell ref="B14:C14"/>
    <mergeCell ref="D14:N14"/>
    <mergeCell ref="B1:B6"/>
    <mergeCell ref="J1:K1"/>
    <mergeCell ref="L1:N1"/>
    <mergeCell ref="J2:K2"/>
    <mergeCell ref="L2:N2"/>
    <mergeCell ref="J3:K3"/>
    <mergeCell ref="L3:N3"/>
    <mergeCell ref="J4:K4"/>
    <mergeCell ref="L4:N4"/>
    <mergeCell ref="J5:K5"/>
    <mergeCell ref="L5:N5"/>
    <mergeCell ref="C4:I6"/>
    <mergeCell ref="C1:I3"/>
  </mergeCells>
  <conditionalFormatting sqref="D22:N22">
    <cfRule type="containsBlanks" dxfId="14" priority="14">
      <formula>LEN(TRIM(D22))=0</formula>
    </cfRule>
  </conditionalFormatting>
  <conditionalFormatting sqref="D24:N24">
    <cfRule type="containsBlanks" dxfId="13" priority="13">
      <formula>LEN(TRIM(D24))=0</formula>
    </cfRule>
  </conditionalFormatting>
  <conditionalFormatting sqref="D26:N26">
    <cfRule type="containsBlanks" dxfId="12" priority="8">
      <formula>LEN(TRIM(D26))=0</formula>
    </cfRule>
  </conditionalFormatting>
  <conditionalFormatting sqref="D28:H28">
    <cfRule type="containsBlanks" dxfId="11" priority="11">
      <formula>LEN(TRIM(D28))=0</formula>
    </cfRule>
  </conditionalFormatting>
  <conditionalFormatting sqref="J28:N28">
    <cfRule type="containsBlanks" dxfId="10" priority="16" stopIfTrue="1">
      <formula>LEN(TRIM(J28))=0</formula>
    </cfRule>
  </conditionalFormatting>
  <conditionalFormatting sqref="J38:N38">
    <cfRule type="cellIs" dxfId="9" priority="9" operator="equal">
      <formula>0</formula>
    </cfRule>
    <cfRule type="containsErrors" dxfId="8" priority="10">
      <formula>ISERROR(J38)</formula>
    </cfRule>
  </conditionalFormatting>
  <conditionalFormatting sqref="J39:N39">
    <cfRule type="cellIs" dxfId="7" priority="5" operator="equal">
      <formula>0</formula>
    </cfRule>
    <cfRule type="containsErrors" dxfId="6" priority="6">
      <formula>ISERROR(J39)</formula>
    </cfRule>
    <cfRule type="containsBlanks" dxfId="5" priority="7" stopIfTrue="1">
      <formula>LEN(TRIM(J39))=0</formula>
    </cfRule>
  </conditionalFormatting>
  <conditionalFormatting sqref="D12:N12">
    <cfRule type="containsBlanks" dxfId="4" priority="4">
      <formula>LEN(TRIM(D12))=0</formula>
    </cfRule>
  </conditionalFormatting>
  <conditionalFormatting sqref="D14:N14">
    <cfRule type="containsBlanks" dxfId="3" priority="3">
      <formula>LEN(TRIM(D14))=0</formula>
    </cfRule>
  </conditionalFormatting>
  <conditionalFormatting sqref="D16:N16">
    <cfRule type="containsBlanks" dxfId="2" priority="2">
      <formula>LEN(TRIM(D16))=0</formula>
    </cfRule>
  </conditionalFormatting>
  <conditionalFormatting sqref="D18:N18">
    <cfRule type="containsBlanks" dxfId="1" priority="1">
      <formula>LEN(TRIM(D18))=0</formula>
    </cfRule>
  </conditionalFormatting>
  <hyperlinks>
    <hyperlink ref="D16" r:id="rId1"/>
  </hyperlinks>
  <printOptions horizontalCentered="1"/>
  <pageMargins left="0.23622047244094499" right="0.23622047244094499" top="0.74803149606299202" bottom="0.74803149606299202" header="0.31496062992126" footer="0.31496062992126"/>
  <pageSetup paperSize="9" scale="69" orientation="portrait" r:id="rId2"/>
  <headerFooter>
    <oddFooter>&amp;C&amp;"-,Negrita Cursiva"&amp;K03-048Sistema de Gestión de Certificación de Personas&amp;R&amp;P</oddFooter>
  </headerFooter>
  <rowBreaks count="2" manualBreakCount="2">
    <brk id="64" min="1" max="13" man="1"/>
    <brk id="93" max="16383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Hoja2!$C$3:$C$10</xm:f>
          </x14:formula1>
          <xm:sqref>P38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topLeftCell="B1" workbookViewId="0">
      <selection activeCell="B11" sqref="B11"/>
    </sheetView>
  </sheetViews>
  <sheetFormatPr baseColWidth="10" defaultColWidth="11" defaultRowHeight="15"/>
  <cols>
    <col min="2" max="2" width="38.5703125" customWidth="1"/>
    <col min="3" max="3" width="78.5703125" customWidth="1"/>
    <col min="4" max="4" width="14.42578125" customWidth="1"/>
    <col min="5" max="5" width="13.140625" customWidth="1"/>
  </cols>
  <sheetData>
    <row r="2" spans="2:8">
      <c r="B2" s="50" t="s">
        <v>90</v>
      </c>
      <c r="C2" s="50" t="s">
        <v>91</v>
      </c>
      <c r="D2" s="50" t="s">
        <v>31</v>
      </c>
      <c r="E2" s="50" t="s">
        <v>32</v>
      </c>
      <c r="F2" s="50" t="s">
        <v>33</v>
      </c>
      <c r="G2" s="50" t="s">
        <v>34</v>
      </c>
      <c r="H2" s="50" t="s">
        <v>35</v>
      </c>
    </row>
    <row r="3" spans="2:8">
      <c r="B3" s="51" t="s">
        <v>92</v>
      </c>
      <c r="C3" t="s">
        <v>93</v>
      </c>
      <c r="D3" s="52" t="s">
        <v>94</v>
      </c>
      <c r="E3" s="52" t="s">
        <v>94</v>
      </c>
      <c r="F3" s="52" t="s">
        <v>94</v>
      </c>
      <c r="G3" s="52"/>
      <c r="H3" s="52"/>
    </row>
    <row r="4" spans="2:8">
      <c r="B4" s="51" t="s">
        <v>92</v>
      </c>
      <c r="C4" t="s">
        <v>95</v>
      </c>
      <c r="D4" s="52" t="s">
        <v>94</v>
      </c>
      <c r="E4" s="52" t="s">
        <v>94</v>
      </c>
      <c r="F4" s="52" t="s">
        <v>94</v>
      </c>
      <c r="G4" s="52"/>
      <c r="H4" s="52"/>
    </row>
    <row r="5" spans="2:8">
      <c r="B5" t="s">
        <v>96</v>
      </c>
      <c r="C5" t="s">
        <v>96</v>
      </c>
      <c r="D5" s="52" t="s">
        <v>94</v>
      </c>
      <c r="E5" s="52" t="s">
        <v>94</v>
      </c>
      <c r="F5" s="52" t="s">
        <v>94</v>
      </c>
      <c r="G5" s="52" t="s">
        <v>94</v>
      </c>
      <c r="H5" s="52"/>
    </row>
    <row r="6" spans="2:8">
      <c r="B6" t="s">
        <v>97</v>
      </c>
      <c r="C6" t="s">
        <v>98</v>
      </c>
      <c r="D6" s="52" t="s">
        <v>94</v>
      </c>
      <c r="E6" s="52" t="s">
        <v>94</v>
      </c>
      <c r="F6" s="52"/>
      <c r="G6" s="52"/>
      <c r="H6" s="52"/>
    </row>
    <row r="7" spans="2:8">
      <c r="B7" t="s">
        <v>99</v>
      </c>
      <c r="C7" t="s">
        <v>99</v>
      </c>
      <c r="D7" s="52" t="s">
        <v>94</v>
      </c>
      <c r="E7" s="52" t="s">
        <v>94</v>
      </c>
      <c r="F7" s="52" t="s">
        <v>94</v>
      </c>
      <c r="G7" s="52" t="s">
        <v>94</v>
      </c>
      <c r="H7" s="52"/>
    </row>
    <row r="8" spans="2:8">
      <c r="B8" t="s">
        <v>100</v>
      </c>
      <c r="C8" t="s">
        <v>100</v>
      </c>
      <c r="D8" s="52" t="s">
        <v>94</v>
      </c>
      <c r="E8" s="52" t="s">
        <v>94</v>
      </c>
      <c r="F8" s="52" t="s">
        <v>94</v>
      </c>
      <c r="G8" s="52"/>
      <c r="H8" s="52"/>
    </row>
    <row r="9" spans="2:8">
      <c r="B9" t="s">
        <v>88</v>
      </c>
      <c r="C9" t="s">
        <v>88</v>
      </c>
      <c r="D9" s="52" t="s">
        <v>94</v>
      </c>
      <c r="E9" s="52" t="s">
        <v>94</v>
      </c>
      <c r="F9" s="52" t="s">
        <v>94</v>
      </c>
      <c r="G9" s="52" t="s">
        <v>94</v>
      </c>
      <c r="H9" s="52"/>
    </row>
    <row r="10" spans="2:8">
      <c r="B10" t="s">
        <v>89</v>
      </c>
      <c r="C10" t="s">
        <v>89</v>
      </c>
      <c r="D10" s="52"/>
      <c r="E10" s="52"/>
      <c r="F10" s="52"/>
      <c r="G10" s="52"/>
      <c r="H10" s="52"/>
    </row>
    <row r="11" spans="2:8">
      <c r="B11" t="s">
        <v>101</v>
      </c>
      <c r="C11" s="53" t="s">
        <v>92</v>
      </c>
      <c r="D11" t="s">
        <v>96</v>
      </c>
      <c r="E11" t="s">
        <v>99</v>
      </c>
      <c r="F11" s="52" t="s">
        <v>97</v>
      </c>
      <c r="H11" s="52"/>
    </row>
    <row r="12" spans="2:8">
      <c r="B12" s="53" t="s">
        <v>102</v>
      </c>
      <c r="C12" t="s">
        <v>93</v>
      </c>
      <c r="D12" t="s">
        <v>96</v>
      </c>
      <c r="E12" t="s">
        <v>99</v>
      </c>
      <c r="F12" s="52" t="s">
        <v>98</v>
      </c>
      <c r="H12" s="52"/>
    </row>
    <row r="13" spans="2:8">
      <c r="B13" t="s">
        <v>96</v>
      </c>
      <c r="C13" t="s">
        <v>95</v>
      </c>
      <c r="D13" s="52"/>
      <c r="E13" s="52"/>
      <c r="F13" s="52"/>
      <c r="G13" s="52"/>
      <c r="H13" s="52"/>
    </row>
    <row r="14" spans="2:8">
      <c r="B14" t="s">
        <v>97</v>
      </c>
      <c r="D14" s="52"/>
      <c r="E14" s="52"/>
      <c r="F14" s="52"/>
      <c r="G14" s="52"/>
      <c r="H14" s="52"/>
    </row>
    <row r="15" spans="2:8">
      <c r="B15" t="s">
        <v>99</v>
      </c>
      <c r="D15" s="52"/>
      <c r="E15" s="52"/>
      <c r="F15" s="52"/>
      <c r="G15" s="52"/>
      <c r="H15" s="52"/>
    </row>
    <row r="16" spans="2:8">
      <c r="B16" t="s">
        <v>100</v>
      </c>
      <c r="D16" s="52"/>
      <c r="E16" s="52"/>
      <c r="F16" s="52"/>
      <c r="G16" s="52"/>
      <c r="H16" s="52"/>
    </row>
    <row r="17" spans="2:2">
      <c r="B17" t="s">
        <v>103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"/>
  <sheetViews>
    <sheetView topLeftCell="A82" workbookViewId="0">
      <selection activeCell="A99" sqref="A99:M99"/>
    </sheetView>
  </sheetViews>
  <sheetFormatPr baseColWidth="10" defaultColWidth="11.42578125" defaultRowHeight="11.25"/>
  <cols>
    <col min="1" max="1" width="18.7109375" style="3" customWidth="1"/>
    <col min="2" max="2" width="14" style="3" customWidth="1"/>
    <col min="3" max="3" width="2.28515625" style="3" customWidth="1"/>
    <col min="4" max="4" width="2.7109375" style="3" customWidth="1"/>
    <col min="5" max="5" width="8.85546875" style="3" customWidth="1"/>
    <col min="6" max="6" width="7.7109375" style="3" customWidth="1"/>
    <col min="7" max="7" width="8.140625" style="3" customWidth="1"/>
    <col min="8" max="8" width="9.5703125" style="3" customWidth="1"/>
    <col min="9" max="13" width="6.7109375" style="3" customWidth="1"/>
    <col min="14" max="15" width="7.42578125" style="3" customWidth="1"/>
    <col min="16" max="16" width="5.28515625" style="3" customWidth="1"/>
    <col min="17" max="17" width="5.7109375" style="3" customWidth="1"/>
    <col min="18" max="18" width="7.7109375" style="3" customWidth="1"/>
    <col min="19" max="256" width="9.140625" style="3" customWidth="1"/>
    <col min="257" max="16384" width="11.42578125" style="3"/>
  </cols>
  <sheetData>
    <row r="1" spans="1:13" ht="13.5" customHeight="1">
      <c r="A1" s="320" t="s">
        <v>104</v>
      </c>
      <c r="B1" s="324" t="s">
        <v>105</v>
      </c>
      <c r="C1" s="325"/>
      <c r="D1" s="325"/>
      <c r="E1" s="325"/>
      <c r="F1" s="325"/>
      <c r="G1" s="325"/>
      <c r="H1" s="326"/>
      <c r="I1" s="279" t="s">
        <v>1</v>
      </c>
      <c r="J1" s="279"/>
      <c r="K1" s="280" t="s">
        <v>106</v>
      </c>
      <c r="L1" s="280"/>
      <c r="M1" s="280"/>
    </row>
    <row r="2" spans="1:13" ht="14.1" customHeight="1">
      <c r="A2" s="321"/>
      <c r="B2" s="327"/>
      <c r="C2" s="328"/>
      <c r="D2" s="328"/>
      <c r="E2" s="328"/>
      <c r="F2" s="328"/>
      <c r="G2" s="328"/>
      <c r="H2" s="329"/>
      <c r="I2" s="279" t="s">
        <v>3</v>
      </c>
      <c r="J2" s="279"/>
      <c r="K2" s="280" t="s">
        <v>107</v>
      </c>
      <c r="L2" s="280"/>
      <c r="M2" s="280"/>
    </row>
    <row r="3" spans="1:13" ht="14.1" customHeight="1">
      <c r="A3" s="321"/>
      <c r="B3" s="330"/>
      <c r="C3" s="331"/>
      <c r="D3" s="331"/>
      <c r="E3" s="331"/>
      <c r="F3" s="331"/>
      <c r="G3" s="331"/>
      <c r="H3" s="332"/>
      <c r="I3" s="279" t="s">
        <v>4</v>
      </c>
      <c r="J3" s="279"/>
      <c r="K3" s="30" t="s">
        <v>107</v>
      </c>
      <c r="L3" s="31"/>
      <c r="M3" s="32"/>
    </row>
    <row r="4" spans="1:13" ht="14.1" customHeight="1">
      <c r="A4" s="321"/>
      <c r="B4" s="333" t="s">
        <v>5</v>
      </c>
      <c r="C4" s="334"/>
      <c r="D4" s="334"/>
      <c r="E4" s="334"/>
      <c r="F4" s="334"/>
      <c r="G4" s="334"/>
      <c r="H4" s="335"/>
      <c r="I4" s="279" t="s">
        <v>6</v>
      </c>
      <c r="J4" s="279"/>
      <c r="K4" s="281" t="s">
        <v>108</v>
      </c>
      <c r="L4" s="281"/>
      <c r="M4" s="281"/>
    </row>
    <row r="5" spans="1:13" ht="14.1" customHeight="1">
      <c r="A5" s="321"/>
      <c r="B5" s="336"/>
      <c r="C5" s="177"/>
      <c r="D5" s="177"/>
      <c r="E5" s="177"/>
      <c r="F5" s="177"/>
      <c r="G5" s="177"/>
      <c r="H5" s="337"/>
      <c r="I5" s="279" t="s">
        <v>8</v>
      </c>
      <c r="J5" s="279"/>
      <c r="K5" s="281" t="s">
        <v>109</v>
      </c>
      <c r="L5" s="281"/>
      <c r="M5" s="281"/>
    </row>
    <row r="6" spans="1:13" ht="14.1" customHeight="1">
      <c r="A6" s="322"/>
      <c r="B6" s="338"/>
      <c r="C6" s="339"/>
      <c r="D6" s="339"/>
      <c r="E6" s="339"/>
      <c r="F6" s="339"/>
      <c r="G6" s="339"/>
      <c r="H6" s="340"/>
      <c r="I6" s="279" t="s">
        <v>10</v>
      </c>
      <c r="J6" s="279"/>
      <c r="K6" s="281" t="s">
        <v>11</v>
      </c>
      <c r="L6" s="281"/>
      <c r="M6" s="281"/>
    </row>
    <row r="7" spans="1:13" ht="6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33"/>
    </row>
    <row r="8" spans="1:13">
      <c r="A8" s="6" t="s">
        <v>12</v>
      </c>
      <c r="B8" s="282"/>
      <c r="C8" s="283"/>
      <c r="D8" s="283"/>
      <c r="E8" s="284"/>
      <c r="G8" s="285" t="s">
        <v>110</v>
      </c>
      <c r="H8" s="285"/>
      <c r="I8" s="282"/>
      <c r="J8" s="283"/>
      <c r="K8" s="283"/>
      <c r="L8" s="283"/>
      <c r="M8" s="284"/>
    </row>
    <row r="9" spans="1:13" ht="9.75" customHeight="1">
      <c r="B9" s="7"/>
      <c r="G9" s="2"/>
      <c r="J9" s="34"/>
      <c r="K9" s="34"/>
      <c r="L9" s="34"/>
      <c r="M9" s="33"/>
    </row>
    <row r="10" spans="1:13">
      <c r="A10" s="94" t="s">
        <v>14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</row>
    <row r="11" spans="1:13" ht="5.0999999999999996" customHeight="1">
      <c r="A11" s="8"/>
      <c r="B11" s="8"/>
      <c r="C11" s="8"/>
      <c r="D11" s="8"/>
      <c r="E11" s="8"/>
      <c r="F11" s="8"/>
      <c r="G11" s="9"/>
      <c r="H11" s="9"/>
      <c r="I11" s="9"/>
      <c r="J11" s="9"/>
      <c r="K11" s="9"/>
      <c r="L11" s="9"/>
      <c r="M11" s="9"/>
    </row>
    <row r="12" spans="1:13">
      <c r="A12" s="95" t="s">
        <v>15</v>
      </c>
      <c r="B12" s="95"/>
      <c r="C12" s="10"/>
      <c r="D12" s="11"/>
      <c r="E12" s="286"/>
      <c r="F12" s="287"/>
      <c r="G12" s="287"/>
      <c r="H12" s="287"/>
      <c r="I12" s="287"/>
      <c r="J12" s="287"/>
      <c r="K12" s="287"/>
      <c r="L12" s="287"/>
      <c r="M12" s="288"/>
    </row>
    <row r="13" spans="1:13" ht="5.0999999999999996" customHeight="1">
      <c r="A13" s="10"/>
      <c r="B13" s="10"/>
      <c r="C13" s="10"/>
      <c r="D13" s="10"/>
      <c r="E13" s="12"/>
      <c r="F13" s="12"/>
      <c r="G13" s="12"/>
      <c r="H13" s="12"/>
      <c r="I13" s="12"/>
      <c r="J13" s="12"/>
      <c r="K13" s="12"/>
      <c r="L13" s="12"/>
      <c r="M13" s="12"/>
    </row>
    <row r="14" spans="1:13">
      <c r="A14" s="95" t="s">
        <v>16</v>
      </c>
      <c r="B14" s="95"/>
      <c r="C14" s="10"/>
      <c r="D14" s="10"/>
      <c r="E14" s="289"/>
      <c r="F14" s="290"/>
      <c r="G14" s="290"/>
      <c r="H14" s="290"/>
      <c r="I14" s="290"/>
      <c r="J14" s="290"/>
      <c r="K14" s="290"/>
      <c r="L14" s="290"/>
      <c r="M14" s="291"/>
    </row>
    <row r="15" spans="1:13" ht="5.0999999999999996" customHeight="1">
      <c r="A15" s="10"/>
      <c r="B15" s="13"/>
      <c r="C15" s="13"/>
      <c r="D15" s="13"/>
      <c r="E15" s="14"/>
      <c r="F15" s="14"/>
      <c r="G15" s="14"/>
      <c r="H15" s="14"/>
      <c r="I15" s="14"/>
      <c r="J15" s="14"/>
      <c r="K15" s="14"/>
      <c r="L15" s="14"/>
      <c r="M15" s="14"/>
    </row>
    <row r="16" spans="1:13">
      <c r="A16" s="95" t="s">
        <v>17</v>
      </c>
      <c r="B16" s="95"/>
      <c r="C16" s="10"/>
      <c r="D16" s="10"/>
      <c r="E16" s="292"/>
      <c r="F16" s="290"/>
      <c r="G16" s="290"/>
      <c r="H16" s="290"/>
      <c r="I16" s="290"/>
      <c r="J16" s="290"/>
      <c r="K16" s="290"/>
      <c r="L16" s="290"/>
      <c r="M16" s="291"/>
    </row>
    <row r="17" spans="1:16" ht="5.0999999999999996" customHeight="1">
      <c r="E17" s="14"/>
      <c r="F17" s="14"/>
      <c r="G17" s="14"/>
      <c r="H17" s="14"/>
      <c r="I17" s="14"/>
      <c r="J17" s="14"/>
      <c r="K17" s="14"/>
      <c r="L17" s="14"/>
      <c r="M17" s="14"/>
    </row>
    <row r="18" spans="1:16" ht="12.75" customHeight="1">
      <c r="A18" s="3" t="s">
        <v>18</v>
      </c>
      <c r="E18" s="289"/>
      <c r="F18" s="290"/>
      <c r="G18" s="290"/>
      <c r="H18" s="290"/>
      <c r="I18" s="290"/>
      <c r="J18" s="290"/>
      <c r="K18" s="290"/>
      <c r="L18" s="290"/>
      <c r="M18" s="291"/>
    </row>
    <row r="19" spans="1:16" ht="12.75" customHeight="1"/>
    <row r="20" spans="1:16">
      <c r="A20" s="94" t="s">
        <v>19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6" ht="5.0999999999999996" customHeight="1"/>
    <row r="22" spans="1:16">
      <c r="A22" s="15" t="s">
        <v>20</v>
      </c>
      <c r="E22" s="289"/>
      <c r="F22" s="290"/>
      <c r="G22" s="290"/>
      <c r="H22" s="290"/>
      <c r="I22" s="290"/>
      <c r="J22" s="290"/>
      <c r="K22" s="290"/>
      <c r="L22" s="290"/>
      <c r="M22" s="291"/>
    </row>
    <row r="23" spans="1:16" ht="5.0999999999999996" customHeight="1">
      <c r="A23" s="15"/>
      <c r="E23" s="14"/>
      <c r="F23" s="14"/>
      <c r="G23" s="14"/>
      <c r="H23" s="14"/>
      <c r="I23" s="14"/>
      <c r="J23" s="14"/>
      <c r="K23" s="14"/>
      <c r="L23" s="14"/>
      <c r="M23" s="14"/>
    </row>
    <row r="24" spans="1:16">
      <c r="A24" s="15" t="s">
        <v>21</v>
      </c>
      <c r="E24" s="289"/>
      <c r="F24" s="290"/>
      <c r="G24" s="290"/>
      <c r="H24" s="290"/>
      <c r="I24" s="290"/>
      <c r="J24" s="290"/>
      <c r="K24" s="290"/>
      <c r="L24" s="290"/>
      <c r="M24" s="291"/>
    </row>
    <row r="25" spans="1:16" ht="5.0999999999999996" customHeight="1">
      <c r="A25" s="15"/>
      <c r="E25" s="14"/>
      <c r="F25" s="14"/>
      <c r="G25" s="14"/>
      <c r="H25" s="14"/>
      <c r="I25" s="14"/>
      <c r="J25" s="14"/>
      <c r="K25" s="14"/>
      <c r="L25" s="14"/>
      <c r="M25" s="14"/>
    </row>
    <row r="26" spans="1:16">
      <c r="A26" s="15" t="s">
        <v>22</v>
      </c>
      <c r="E26" s="289"/>
      <c r="F26" s="290"/>
      <c r="G26" s="290"/>
      <c r="H26" s="290"/>
      <c r="I26" s="290"/>
      <c r="J26" s="290"/>
      <c r="K26" s="290"/>
      <c r="L26" s="290"/>
      <c r="M26" s="291"/>
    </row>
    <row r="27" spans="1:16" ht="5.0999999999999996" customHeight="1">
      <c r="A27" s="15"/>
      <c r="E27" s="14"/>
      <c r="F27" s="14"/>
      <c r="G27" s="14"/>
      <c r="H27" s="14"/>
      <c r="I27" s="14"/>
      <c r="J27" s="14"/>
      <c r="K27" s="14"/>
      <c r="L27" s="14"/>
      <c r="M27" s="14"/>
    </row>
    <row r="28" spans="1:16">
      <c r="A28" s="15" t="s">
        <v>23</v>
      </c>
      <c r="E28" s="293"/>
      <c r="F28" s="293"/>
      <c r="G28" s="293"/>
      <c r="H28" s="17" t="s">
        <v>24</v>
      </c>
      <c r="I28" s="289"/>
      <c r="J28" s="290"/>
      <c r="K28" s="290"/>
      <c r="L28" s="290"/>
      <c r="M28" s="291"/>
    </row>
    <row r="29" spans="1:16" ht="9.75" customHeight="1"/>
    <row r="30" spans="1:16" ht="24" customHeight="1">
      <c r="A30" s="101" t="s">
        <v>111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4"/>
      <c r="O30" s="4"/>
      <c r="P30" s="4"/>
    </row>
    <row r="31" spans="1:16" ht="5.0999999999999996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6" ht="16.149999999999999" customHeight="1">
      <c r="A32" s="194" t="s">
        <v>112</v>
      </c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</row>
    <row r="33" spans="1:18" ht="5.25" customHeight="1"/>
    <row r="34" spans="1:18" ht="21" customHeight="1">
      <c r="A34" s="101" t="s">
        <v>113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4"/>
      <c r="O34" s="4"/>
      <c r="P34" s="4"/>
    </row>
    <row r="35" spans="1:18" s="1" customFormat="1" ht="6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8" ht="27.75" customHeight="1">
      <c r="A36" s="341" t="s">
        <v>114</v>
      </c>
      <c r="B36" s="342"/>
      <c r="C36" s="345" t="s">
        <v>115</v>
      </c>
      <c r="D36" s="345"/>
      <c r="E36" s="345"/>
      <c r="F36" s="345"/>
      <c r="G36" s="345"/>
      <c r="H36" s="346"/>
      <c r="I36" s="294" t="s">
        <v>30</v>
      </c>
      <c r="J36" s="294"/>
      <c r="K36" s="294"/>
      <c r="L36" s="294"/>
      <c r="M36" s="294"/>
      <c r="N36" s="35"/>
      <c r="O36" s="35"/>
      <c r="P36" s="35"/>
      <c r="Q36" s="38"/>
      <c r="R36" s="38"/>
    </row>
    <row r="37" spans="1:18">
      <c r="A37" s="343"/>
      <c r="B37" s="344"/>
      <c r="C37" s="345"/>
      <c r="D37" s="345"/>
      <c r="E37" s="345"/>
      <c r="F37" s="345"/>
      <c r="G37" s="345"/>
      <c r="H37" s="346"/>
      <c r="I37" s="21" t="s">
        <v>31</v>
      </c>
      <c r="J37" s="21" t="s">
        <v>32</v>
      </c>
      <c r="K37" s="21" t="s">
        <v>33</v>
      </c>
      <c r="L37" s="21" t="s">
        <v>34</v>
      </c>
      <c r="M37" s="21" t="s">
        <v>35</v>
      </c>
      <c r="N37" s="36"/>
      <c r="O37" s="36"/>
      <c r="P37" s="36"/>
    </row>
    <row r="38" spans="1:18">
      <c r="A38" s="295"/>
      <c r="B38" s="296"/>
      <c r="C38" s="297"/>
      <c r="D38" s="298"/>
      <c r="E38" s="298"/>
      <c r="F38" s="298"/>
      <c r="G38" s="298"/>
      <c r="H38" s="298"/>
      <c r="I38" s="37"/>
      <c r="J38" s="37"/>
      <c r="K38" s="37"/>
      <c r="L38" s="37"/>
      <c r="M38" s="37"/>
    </row>
    <row r="39" spans="1:18">
      <c r="A39" s="295"/>
      <c r="B39" s="296"/>
      <c r="C39" s="297"/>
      <c r="D39" s="298"/>
      <c r="E39" s="298"/>
      <c r="F39" s="298"/>
      <c r="G39" s="298"/>
      <c r="H39" s="298"/>
      <c r="I39" s="37"/>
      <c r="J39" s="37"/>
      <c r="K39" s="37"/>
      <c r="L39" s="37"/>
      <c r="M39" s="37"/>
    </row>
    <row r="40" spans="1:18" ht="6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8" ht="22.5" customHeight="1">
      <c r="A41" s="101" t="s">
        <v>36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</row>
    <row r="42" spans="1:18" ht="22.5" customHeight="1">
      <c r="A42" s="22" t="s">
        <v>116</v>
      </c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</row>
    <row r="43" spans="1:18" ht="18" customHeight="1">
      <c r="A43" s="22" t="s">
        <v>22</v>
      </c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</row>
    <row r="44" spans="1:18" ht="18" customHeight="1">
      <c r="A44" s="22" t="s">
        <v>38</v>
      </c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</row>
    <row r="45" spans="1:18" ht="17.25" customHeight="1">
      <c r="A45" s="22" t="s">
        <v>23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</row>
    <row r="46" spans="1:18" ht="7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8" ht="22.5" customHeight="1">
      <c r="A47" s="101" t="s">
        <v>117</v>
      </c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8"/>
      <c r="O47" s="18"/>
      <c r="P47" s="18"/>
    </row>
    <row r="48" spans="1:18" ht="5.0999999999999996" customHeight="1"/>
    <row r="49" spans="1:13" ht="16.149999999999999" customHeight="1">
      <c r="A49" s="131" t="s">
        <v>40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</row>
    <row r="50" spans="1:13" ht="5.0999999999999996" customHeight="1">
      <c r="B50" s="23"/>
      <c r="C50" s="23"/>
      <c r="D50" s="23"/>
      <c r="E50" s="23"/>
      <c r="F50" s="23"/>
      <c r="G50" s="23"/>
    </row>
    <row r="51" spans="1:13" ht="18.75" customHeight="1">
      <c r="A51" s="323" t="s">
        <v>41</v>
      </c>
      <c r="B51" s="294" t="s">
        <v>42</v>
      </c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20.25" customHeight="1">
      <c r="A52" s="300"/>
      <c r="B52" s="300" t="s">
        <v>43</v>
      </c>
      <c r="C52" s="300"/>
      <c r="D52" s="300"/>
      <c r="E52" s="300"/>
      <c r="F52" s="300"/>
      <c r="G52" s="300"/>
      <c r="H52" s="25" t="s">
        <v>44</v>
      </c>
      <c r="I52" s="25" t="s">
        <v>45</v>
      </c>
      <c r="J52" s="300" t="s">
        <v>46</v>
      </c>
      <c r="K52" s="300"/>
      <c r="L52" s="300"/>
      <c r="M52" s="300"/>
    </row>
    <row r="53" spans="1:13" s="2" customFormat="1" ht="35.1" customHeight="1">
      <c r="A53" s="26" t="s">
        <v>48</v>
      </c>
      <c r="B53" s="301"/>
      <c r="C53" s="302"/>
      <c r="D53" s="302"/>
      <c r="E53" s="302"/>
      <c r="F53" s="302"/>
      <c r="G53" s="303"/>
      <c r="H53" s="27"/>
      <c r="I53" s="27"/>
      <c r="J53" s="304"/>
      <c r="K53" s="304"/>
      <c r="L53" s="304"/>
      <c r="M53" s="304"/>
    </row>
    <row r="54" spans="1:13" s="2" customFormat="1" ht="35.1" customHeight="1">
      <c r="A54" s="28" t="s">
        <v>49</v>
      </c>
      <c r="B54" s="305"/>
      <c r="C54" s="305"/>
      <c r="D54" s="305"/>
      <c r="E54" s="305"/>
      <c r="F54" s="305"/>
      <c r="G54" s="305"/>
      <c r="H54" s="16"/>
      <c r="I54" s="16"/>
      <c r="J54" s="293"/>
      <c r="K54" s="293"/>
      <c r="L54" s="293"/>
      <c r="M54" s="293"/>
    </row>
    <row r="55" spans="1:13" s="2" customFormat="1" ht="35.1" customHeight="1">
      <c r="A55" s="28" t="s">
        <v>118</v>
      </c>
      <c r="B55" s="305"/>
      <c r="C55" s="305"/>
      <c r="D55" s="305"/>
      <c r="E55" s="305"/>
      <c r="F55" s="305"/>
      <c r="G55" s="305"/>
      <c r="H55" s="16"/>
      <c r="I55" s="16"/>
      <c r="J55" s="293"/>
      <c r="K55" s="293"/>
      <c r="L55" s="293"/>
      <c r="M55" s="293"/>
    </row>
    <row r="56" spans="1:13" s="2" customFormat="1" ht="35.1" customHeight="1">
      <c r="A56" s="28" t="s">
        <v>51</v>
      </c>
      <c r="B56" s="305"/>
      <c r="C56" s="305"/>
      <c r="D56" s="305"/>
      <c r="E56" s="305"/>
      <c r="F56" s="305"/>
      <c r="G56" s="305"/>
      <c r="H56" s="16"/>
      <c r="I56" s="16"/>
      <c r="J56" s="293"/>
      <c r="K56" s="293"/>
      <c r="L56" s="293"/>
      <c r="M56" s="293"/>
    </row>
    <row r="57" spans="1:13" s="2" customFormat="1" ht="35.1" customHeight="1">
      <c r="A57" s="28" t="s">
        <v>52</v>
      </c>
      <c r="B57" s="305"/>
      <c r="C57" s="305"/>
      <c r="D57" s="305"/>
      <c r="E57" s="305"/>
      <c r="F57" s="305"/>
      <c r="G57" s="305"/>
      <c r="H57" s="16"/>
      <c r="I57" s="16"/>
      <c r="J57" s="293"/>
      <c r="K57" s="293"/>
      <c r="L57" s="293"/>
      <c r="M57" s="293"/>
    </row>
    <row r="58" spans="1:13" ht="5.0999999999999996" customHeight="1">
      <c r="B58" s="29"/>
      <c r="C58" s="29"/>
      <c r="D58" s="29"/>
      <c r="E58" s="29"/>
      <c r="F58" s="29"/>
      <c r="G58" s="29"/>
    </row>
    <row r="59" spans="1:13" ht="18.600000000000001" customHeight="1">
      <c r="A59" s="131" t="s">
        <v>119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</row>
    <row r="60" spans="1:13" ht="5.0999999999999996" customHeight="1"/>
    <row r="61" spans="1:13" ht="28.5" customHeight="1">
      <c r="A61" s="306" t="s">
        <v>54</v>
      </c>
      <c r="B61" s="306"/>
      <c r="C61" s="306"/>
      <c r="D61" s="306"/>
      <c r="E61" s="306"/>
      <c r="F61" s="307" t="s">
        <v>55</v>
      </c>
      <c r="G61" s="307"/>
      <c r="H61" s="307"/>
      <c r="I61" s="307" t="s">
        <v>56</v>
      </c>
      <c r="J61" s="307"/>
      <c r="K61" s="308" t="s">
        <v>57</v>
      </c>
      <c r="L61" s="309"/>
      <c r="M61" s="310"/>
    </row>
    <row r="62" spans="1:13">
      <c r="A62" s="311"/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</row>
    <row r="63" spans="1:13">
      <c r="A63" s="311"/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</row>
    <row r="64" spans="1:13">
      <c r="A64" s="311"/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</row>
    <row r="65" spans="1:16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</row>
    <row r="66" spans="1:16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</row>
    <row r="67" spans="1:16" ht="5.0999999999999996" customHeight="1"/>
    <row r="68" spans="1:16" ht="19.5" customHeight="1">
      <c r="A68" s="168" t="s">
        <v>58</v>
      </c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</row>
    <row r="69" spans="1:16" ht="5.0999999999999996" customHeight="1"/>
    <row r="70" spans="1:16" ht="26.25" customHeight="1">
      <c r="A70" s="294" t="s">
        <v>59</v>
      </c>
      <c r="B70" s="294"/>
      <c r="C70" s="317" t="s">
        <v>60</v>
      </c>
      <c r="D70" s="318"/>
      <c r="E70" s="318"/>
      <c r="F70" s="318"/>
      <c r="G70" s="318"/>
      <c r="H70" s="318"/>
      <c r="I70" s="318"/>
      <c r="J70" s="294" t="s">
        <v>61</v>
      </c>
      <c r="K70" s="294"/>
      <c r="L70" s="294"/>
      <c r="M70" s="294"/>
      <c r="N70" s="4"/>
      <c r="O70" s="4"/>
      <c r="P70" s="4"/>
    </row>
    <row r="71" spans="1:16" ht="15" customHeight="1">
      <c r="A71" s="24" t="s">
        <v>62</v>
      </c>
      <c r="B71" s="24" t="s">
        <v>63</v>
      </c>
      <c r="C71" s="294" t="s">
        <v>64</v>
      </c>
      <c r="D71" s="294"/>
      <c r="E71" s="294"/>
      <c r="F71" s="294"/>
      <c r="G71" s="294" t="s">
        <v>65</v>
      </c>
      <c r="H71" s="294"/>
      <c r="I71" s="45" t="s">
        <v>66</v>
      </c>
      <c r="J71" s="294"/>
      <c r="K71" s="294"/>
      <c r="L71" s="294"/>
      <c r="M71" s="294"/>
      <c r="N71" s="4"/>
      <c r="O71" s="4"/>
      <c r="P71" s="4"/>
    </row>
    <row r="72" spans="1:16" ht="39.75" customHeight="1">
      <c r="A72" s="39"/>
      <c r="B72" s="40"/>
      <c r="C72" s="313"/>
      <c r="D72" s="313"/>
      <c r="E72" s="313"/>
      <c r="F72" s="313"/>
      <c r="G72" s="313"/>
      <c r="H72" s="313"/>
      <c r="I72" s="46"/>
      <c r="J72" s="314"/>
      <c r="K72" s="315"/>
      <c r="L72" s="315"/>
      <c r="M72" s="316"/>
      <c r="N72" s="47"/>
      <c r="O72" s="47"/>
      <c r="P72" s="47"/>
    </row>
    <row r="73" spans="1:16" ht="39.75" customHeight="1">
      <c r="A73" s="39"/>
      <c r="B73" s="40"/>
      <c r="C73" s="313"/>
      <c r="D73" s="313"/>
      <c r="E73" s="313"/>
      <c r="F73" s="313"/>
      <c r="G73" s="313"/>
      <c r="H73" s="313"/>
      <c r="I73" s="46"/>
      <c r="J73" s="314"/>
      <c r="K73" s="315"/>
      <c r="L73" s="315"/>
      <c r="M73" s="316"/>
      <c r="N73" s="47"/>
      <c r="O73" s="47"/>
      <c r="P73" s="47"/>
    </row>
    <row r="74" spans="1:16" ht="39.75" customHeight="1">
      <c r="A74" s="39"/>
      <c r="B74" s="40"/>
      <c r="C74" s="313"/>
      <c r="D74" s="313"/>
      <c r="E74" s="313"/>
      <c r="F74" s="313"/>
      <c r="G74" s="313"/>
      <c r="H74" s="313"/>
      <c r="I74" s="46"/>
      <c r="J74" s="314"/>
      <c r="K74" s="315"/>
      <c r="L74" s="315"/>
      <c r="M74" s="316"/>
      <c r="N74" s="47"/>
      <c r="O74" s="47"/>
      <c r="P74" s="47"/>
    </row>
    <row r="75" spans="1:16" ht="15" customHeight="1"/>
    <row r="76" spans="1:16" ht="22.5" customHeight="1">
      <c r="A76" s="210" t="s">
        <v>67</v>
      </c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41"/>
      <c r="O76" s="41"/>
      <c r="P76" s="41"/>
    </row>
    <row r="77" spans="1:16" ht="5.0999999999999996" customHeight="1">
      <c r="A77" s="41"/>
      <c r="B77" s="41"/>
      <c r="C77" s="41"/>
      <c r="D77" s="41"/>
      <c r="E77" s="41"/>
      <c r="F77" s="41"/>
      <c r="G77" s="41"/>
      <c r="H77" s="41"/>
      <c r="I77" s="48"/>
    </row>
    <row r="78" spans="1:16" ht="12" customHeight="1">
      <c r="A78" s="211" t="s">
        <v>120</v>
      </c>
      <c r="B78" s="211"/>
      <c r="C78" s="211"/>
      <c r="D78" s="211"/>
      <c r="E78" s="211"/>
      <c r="F78" s="211"/>
      <c r="G78" s="211"/>
      <c r="H78" s="211"/>
      <c r="I78" s="211"/>
    </row>
    <row r="79" spans="1:16" ht="12" customHeight="1">
      <c r="A79" s="42" t="s">
        <v>69</v>
      </c>
      <c r="B79" s="42"/>
      <c r="C79" s="42"/>
      <c r="D79" s="42"/>
      <c r="E79" s="42"/>
      <c r="F79" s="42"/>
      <c r="G79" s="42"/>
      <c r="H79" s="42"/>
      <c r="I79" s="42"/>
    </row>
    <row r="80" spans="1:16" ht="12" customHeight="1">
      <c r="A80" s="174" t="s">
        <v>70</v>
      </c>
      <c r="B80" s="174"/>
      <c r="C80" s="174"/>
      <c r="D80" s="174"/>
      <c r="E80" s="174"/>
      <c r="F80" s="174"/>
      <c r="G80" s="174"/>
      <c r="H80" s="174"/>
      <c r="I80" s="174"/>
    </row>
    <row r="81" spans="1:17" ht="12" customHeight="1">
      <c r="A81" s="174" t="s">
        <v>71</v>
      </c>
      <c r="B81" s="174"/>
      <c r="C81" s="174"/>
      <c r="D81" s="174"/>
      <c r="E81" s="174"/>
      <c r="F81" s="174"/>
      <c r="G81" s="174"/>
      <c r="H81" s="174"/>
      <c r="I81" s="174"/>
      <c r="J81" s="43"/>
    </row>
    <row r="82" spans="1:17" ht="12" customHeight="1">
      <c r="A82" s="174" t="s">
        <v>121</v>
      </c>
      <c r="B82" s="174"/>
      <c r="C82" s="174"/>
      <c r="D82" s="174"/>
      <c r="E82" s="174"/>
      <c r="F82" s="174"/>
      <c r="G82" s="174"/>
      <c r="H82" s="174"/>
      <c r="I82" s="174"/>
    </row>
    <row r="83" spans="1:17" ht="12" customHeight="1">
      <c r="A83" s="174" t="s">
        <v>122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43"/>
      <c r="O83" s="43"/>
      <c r="P83" s="43"/>
      <c r="Q83" s="49"/>
    </row>
    <row r="84" spans="1:17" ht="12" customHeight="1">
      <c r="A84" s="174" t="s">
        <v>123</v>
      </c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</row>
    <row r="85" spans="1:17" ht="33" customHeight="1">
      <c r="A85" s="175" t="s">
        <v>124</v>
      </c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</row>
    <row r="86" spans="1:17" ht="3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1:17" ht="15" customHeight="1">
      <c r="A87" s="101" t="s">
        <v>125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8"/>
      <c r="O87" s="18"/>
      <c r="P87" s="18"/>
    </row>
    <row r="88" spans="1:17" ht="20.2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8"/>
      <c r="O88" s="18"/>
      <c r="P88" s="18"/>
    </row>
    <row r="89" spans="1:17" ht="15" customHeight="1">
      <c r="A89" s="194" t="s">
        <v>126</v>
      </c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"/>
      <c r="O89" s="19"/>
      <c r="P89" s="19"/>
    </row>
    <row r="90" spans="1:17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"/>
      <c r="O90" s="19"/>
      <c r="P90" s="19"/>
    </row>
    <row r="91" spans="1:17" ht="22.5" customHeight="1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"/>
      <c r="O91" s="19"/>
      <c r="P91" s="19"/>
    </row>
    <row r="92" spans="1:17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1:17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1:17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7">
      <c r="E95" s="19"/>
      <c r="F95" s="347"/>
      <c r="G95" s="347"/>
      <c r="H95" s="347"/>
      <c r="I95" s="19"/>
      <c r="J95" s="19"/>
      <c r="K95" s="19"/>
      <c r="L95" s="19"/>
      <c r="M95" s="19"/>
    </row>
    <row r="96" spans="1:17" ht="15" customHeight="1">
      <c r="E96" s="19"/>
      <c r="F96" s="177" t="s">
        <v>127</v>
      </c>
      <c r="G96" s="177"/>
      <c r="H96" s="177"/>
      <c r="I96" s="19"/>
      <c r="J96" s="19"/>
      <c r="K96" s="19"/>
      <c r="L96" s="19"/>
      <c r="M96" s="19"/>
    </row>
    <row r="97" spans="1:16" ht="10.5" customHeight="1">
      <c r="A97" s="19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9"/>
      <c r="M97" s="19"/>
    </row>
    <row r="98" spans="1:16" ht="5.0999999999999996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1:16" ht="34.5" customHeight="1">
      <c r="A99" s="319" t="s">
        <v>128</v>
      </c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5"/>
      <c r="O99" s="35"/>
      <c r="P99" s="1"/>
    </row>
  </sheetData>
  <mergeCells count="116">
    <mergeCell ref="F96:H96"/>
    <mergeCell ref="B97:K97"/>
    <mergeCell ref="A99:M99"/>
    <mergeCell ref="A1:A6"/>
    <mergeCell ref="A51:A52"/>
    <mergeCell ref="B1:H3"/>
    <mergeCell ref="B4:H6"/>
    <mergeCell ref="A36:B37"/>
    <mergeCell ref="C36:H37"/>
    <mergeCell ref="J70:M71"/>
    <mergeCell ref="A87:M88"/>
    <mergeCell ref="A89:M91"/>
    <mergeCell ref="A76:M76"/>
    <mergeCell ref="A78:I78"/>
    <mergeCell ref="A80:I80"/>
    <mergeCell ref="A81:I81"/>
    <mergeCell ref="A82:I82"/>
    <mergeCell ref="A83:M83"/>
    <mergeCell ref="A84:M84"/>
    <mergeCell ref="A85:M85"/>
    <mergeCell ref="F95:H95"/>
    <mergeCell ref="C72:F72"/>
    <mergeCell ref="G72:H72"/>
    <mergeCell ref="J72:M72"/>
    <mergeCell ref="C73:F73"/>
    <mergeCell ref="G73:H73"/>
    <mergeCell ref="J73:M73"/>
    <mergeCell ref="C74:F74"/>
    <mergeCell ref="G74:H74"/>
    <mergeCell ref="J74:M74"/>
    <mergeCell ref="A66:E66"/>
    <mergeCell ref="F66:H66"/>
    <mergeCell ref="I66:J66"/>
    <mergeCell ref="K66:M66"/>
    <mergeCell ref="A68:M68"/>
    <mergeCell ref="A70:B70"/>
    <mergeCell ref="C70:I70"/>
    <mergeCell ref="C71:F71"/>
    <mergeCell ref="G71:H71"/>
    <mergeCell ref="A63:E63"/>
    <mergeCell ref="F63:H63"/>
    <mergeCell ref="I63:J63"/>
    <mergeCell ref="K63:M63"/>
    <mergeCell ref="A64:E64"/>
    <mergeCell ref="F64:H64"/>
    <mergeCell ref="I64:J64"/>
    <mergeCell ref="K64:M64"/>
    <mergeCell ref="A65:E65"/>
    <mergeCell ref="F65:H65"/>
    <mergeCell ref="I65:J65"/>
    <mergeCell ref="K65:M65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B53:G53"/>
    <mergeCell ref="J53:M53"/>
    <mergeCell ref="B54:G54"/>
    <mergeCell ref="J54:M54"/>
    <mergeCell ref="B55:G55"/>
    <mergeCell ref="J55:M55"/>
    <mergeCell ref="B56:G56"/>
    <mergeCell ref="J56:M56"/>
    <mergeCell ref="B57:G57"/>
    <mergeCell ref="J57:M57"/>
    <mergeCell ref="B42:M42"/>
    <mergeCell ref="B43:M43"/>
    <mergeCell ref="B44:M44"/>
    <mergeCell ref="B45:M45"/>
    <mergeCell ref="A47:M47"/>
    <mergeCell ref="A49:M49"/>
    <mergeCell ref="B51:M51"/>
    <mergeCell ref="B52:G52"/>
    <mergeCell ref="J52:M52"/>
    <mergeCell ref="A30:M30"/>
    <mergeCell ref="A32:M32"/>
    <mergeCell ref="A34:M34"/>
    <mergeCell ref="I36:M36"/>
    <mergeCell ref="A38:B38"/>
    <mergeCell ref="C38:H38"/>
    <mergeCell ref="A39:B39"/>
    <mergeCell ref="C39:H39"/>
    <mergeCell ref="A41:M41"/>
    <mergeCell ref="A16:B16"/>
    <mergeCell ref="E16:M16"/>
    <mergeCell ref="E18:M18"/>
    <mergeCell ref="A20:M20"/>
    <mergeCell ref="E22:M22"/>
    <mergeCell ref="E24:M24"/>
    <mergeCell ref="E26:M26"/>
    <mergeCell ref="E28:G28"/>
    <mergeCell ref="I28:M28"/>
    <mergeCell ref="I6:J6"/>
    <mergeCell ref="K6:M6"/>
    <mergeCell ref="B8:E8"/>
    <mergeCell ref="G8:H8"/>
    <mergeCell ref="I8:M8"/>
    <mergeCell ref="A10:M10"/>
    <mergeCell ref="A12:B12"/>
    <mergeCell ref="E12:M12"/>
    <mergeCell ref="A14:B14"/>
    <mergeCell ref="E14:M14"/>
    <mergeCell ref="I1:J1"/>
    <mergeCell ref="K1:M1"/>
    <mergeCell ref="I2:J2"/>
    <mergeCell ref="K2:M2"/>
    <mergeCell ref="I3:J3"/>
    <mergeCell ref="I4:J4"/>
    <mergeCell ref="K4:M4"/>
    <mergeCell ref="I5:J5"/>
    <mergeCell ref="K5:M5"/>
  </mergeCells>
  <pageMargins left="0.7" right="0.7" top="0.75" bottom="0.75" header="0.3" footer="0.3"/>
  <pageSetup paperSize="9" scale="82" orientation="portrait"/>
  <headerFooter>
    <oddFooter>&amp;CSistema de Gestión de Certificación de Personas&amp;R&amp;P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MATRIZ</vt:lpstr>
      <vt:lpstr>HOJA DE TRABAJO</vt:lpstr>
      <vt:lpstr>Hoja2</vt:lpstr>
      <vt:lpstr>HOJA DE TRABAJO(1)</vt:lpstr>
      <vt:lpstr>'HOJA DE TRABAJO'!Área_de_impresión</vt:lpstr>
      <vt:lpstr>'HOJA DE TRABAJO(1)'!Área_de_impresión</vt:lpstr>
      <vt:lpstr>MATRIZ!Área_de_impresión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Capaglob</cp:lastModifiedBy>
  <cp:lastPrinted>2026-06-18T20:11:01Z</cp:lastPrinted>
  <dcterms:created xsi:type="dcterms:W3CDTF">2021-07-14T17:02:00Z</dcterms:created>
  <dcterms:modified xsi:type="dcterms:W3CDTF">2026-06-18T20:11:31Z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C6598D0F791940B291D487E2D11CEA94_12</vt:lpwstr>
  </property>
  <property fmtid="{D5CDD505-2E9C-101B-9397-08002B2CF9AE}" pid="3" name="KSOProductBuildVer">
    <vt:lpwstr>3082-12.2.0.22549</vt:lpwstr>
  </property>
</Properties>
</file>